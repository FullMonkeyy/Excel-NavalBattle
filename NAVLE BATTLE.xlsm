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783ef61db5debd0/"/>
    </mc:Choice>
  </mc:AlternateContent>
  <xr:revisionPtr revIDLastSave="4" documentId="13_ncr:1_{B4180045-D598-4F60-BEED-D7C71DC3D888}" xr6:coauthVersionLast="47" xr6:coauthVersionMax="47" xr10:uidLastSave="{70A25DC1-26FF-43D6-BF40-0678C8640B8A}"/>
  <bookViews>
    <workbookView xWindow="-108" yWindow="-108" windowWidth="30936" windowHeight="16776" xr2:uid="{180E9514-6158-48C0-8A96-B6278E88797F}"/>
  </bookViews>
  <sheets>
    <sheet name="Foglio2" sheetId="2" r:id="rId1"/>
    <sheet name="Foglio1" sheetId="3" r:id="rId2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2" l="1"/>
  <c r="F17" i="2" s="1"/>
  <c r="W4" i="2"/>
  <c r="Y2" i="2" s="1"/>
  <c r="T8" i="2"/>
  <c r="Z19" i="2"/>
  <c r="N18" i="2"/>
  <c r="W26" i="2"/>
  <c r="Z20" i="2"/>
  <c r="Z21" i="2"/>
  <c r="R21" i="2"/>
  <c r="W34" i="2"/>
  <c r="V34" i="2" s="1"/>
  <c r="AC20" i="2"/>
  <c r="AD20" i="2"/>
  <c r="AE20" i="2"/>
  <c r="AF20" i="2"/>
  <c r="AG20" i="2"/>
  <c r="AH20" i="2"/>
  <c r="AI20" i="2"/>
  <c r="AC21" i="2"/>
  <c r="AD21" i="2"/>
  <c r="AE21" i="2"/>
  <c r="AF21" i="2"/>
  <c r="AG21" i="2"/>
  <c r="AH21" i="2"/>
  <c r="AI21" i="2"/>
  <c r="AC22" i="2"/>
  <c r="AD22" i="2"/>
  <c r="AE22" i="2"/>
  <c r="AF22" i="2"/>
  <c r="AG22" i="2"/>
  <c r="AH22" i="2"/>
  <c r="AI22" i="2"/>
  <c r="AC23" i="2"/>
  <c r="AD23" i="2"/>
  <c r="AE23" i="2"/>
  <c r="AF23" i="2"/>
  <c r="AG23" i="2"/>
  <c r="AH23" i="2"/>
  <c r="AI23" i="2"/>
  <c r="AC24" i="2"/>
  <c r="AD24" i="2"/>
  <c r="AE24" i="2"/>
  <c r="AF24" i="2"/>
  <c r="AG24" i="2"/>
  <c r="AH24" i="2"/>
  <c r="AI24" i="2"/>
  <c r="AC25" i="2"/>
  <c r="AD25" i="2"/>
  <c r="AE25" i="2"/>
  <c r="AF25" i="2"/>
  <c r="AG25" i="2"/>
  <c r="AH25" i="2"/>
  <c r="AI25" i="2"/>
  <c r="AC26" i="2"/>
  <c r="AD26" i="2"/>
  <c r="AE26" i="2"/>
  <c r="AF26" i="2"/>
  <c r="AG26" i="2"/>
  <c r="AH26" i="2"/>
  <c r="AI26" i="2"/>
  <c r="AC27" i="2"/>
  <c r="AD27" i="2"/>
  <c r="AE27" i="2"/>
  <c r="AF27" i="2"/>
  <c r="AG27" i="2"/>
  <c r="AH27" i="2"/>
  <c r="AI27" i="2"/>
  <c r="AC28" i="2"/>
  <c r="AD28" i="2"/>
  <c r="AE28" i="2"/>
  <c r="AF28" i="2"/>
  <c r="AG28" i="2"/>
  <c r="AH28" i="2"/>
  <c r="AI28" i="2"/>
  <c r="AI19" i="2"/>
  <c r="AH19" i="2"/>
  <c r="AG19" i="2"/>
  <c r="AF19" i="2"/>
  <c r="AE19" i="2"/>
  <c r="AD19" i="2"/>
  <c r="AC19" i="2"/>
  <c r="AB19" i="2"/>
  <c r="F117" i="2"/>
  <c r="T16" i="2"/>
  <c r="O19" i="2"/>
  <c r="P19" i="2"/>
  <c r="Q19" i="2"/>
  <c r="R19" i="2"/>
  <c r="S19" i="2"/>
  <c r="T19" i="2"/>
  <c r="U19" i="2"/>
  <c r="V19" i="2"/>
  <c r="O20" i="2"/>
  <c r="P20" i="2"/>
  <c r="Q20" i="2"/>
  <c r="R20" i="2"/>
  <c r="S20" i="2"/>
  <c r="T20" i="2"/>
  <c r="U20" i="2"/>
  <c r="V20" i="2"/>
  <c r="O21" i="2"/>
  <c r="P21" i="2"/>
  <c r="Q21" i="2"/>
  <c r="S21" i="2"/>
  <c r="T21" i="2"/>
  <c r="U21" i="2"/>
  <c r="V21" i="2"/>
  <c r="O22" i="2"/>
  <c r="P22" i="2"/>
  <c r="Q22" i="2"/>
  <c r="R22" i="2"/>
  <c r="S22" i="2"/>
  <c r="T22" i="2"/>
  <c r="U22" i="2"/>
  <c r="V22" i="2"/>
  <c r="O23" i="2"/>
  <c r="P23" i="2"/>
  <c r="Q23" i="2"/>
  <c r="R23" i="2"/>
  <c r="S23" i="2"/>
  <c r="T23" i="2"/>
  <c r="U23" i="2"/>
  <c r="V23" i="2"/>
  <c r="O24" i="2"/>
  <c r="P24" i="2"/>
  <c r="Q24" i="2"/>
  <c r="R24" i="2"/>
  <c r="S24" i="2"/>
  <c r="T24" i="2"/>
  <c r="U24" i="2"/>
  <c r="V24" i="2"/>
  <c r="O25" i="2"/>
  <c r="P25" i="2"/>
  <c r="Q25" i="2"/>
  <c r="R25" i="2"/>
  <c r="S25" i="2"/>
  <c r="T25" i="2"/>
  <c r="U25" i="2"/>
  <c r="V25" i="2"/>
  <c r="O26" i="2"/>
  <c r="P26" i="2"/>
  <c r="Q26" i="2"/>
  <c r="R26" i="2"/>
  <c r="S26" i="2"/>
  <c r="T26" i="2"/>
  <c r="U26" i="2"/>
  <c r="V26" i="2"/>
  <c r="O27" i="2"/>
  <c r="P27" i="2"/>
  <c r="Q27" i="2"/>
  <c r="R27" i="2"/>
  <c r="S27" i="2"/>
  <c r="T27" i="2"/>
  <c r="U27" i="2"/>
  <c r="V27" i="2"/>
  <c r="W18" i="2"/>
  <c r="V18" i="2"/>
  <c r="U18" i="2"/>
  <c r="T18" i="2"/>
  <c r="S18" i="2"/>
  <c r="R18" i="2"/>
  <c r="Q18" i="2"/>
  <c r="P18" i="2"/>
  <c r="O18" i="2"/>
  <c r="N19" i="2"/>
  <c r="W19" i="2"/>
  <c r="N20" i="2"/>
  <c r="W20" i="2"/>
  <c r="N21" i="2"/>
  <c r="W21" i="2"/>
  <c r="N22" i="2"/>
  <c r="W22" i="2"/>
  <c r="N23" i="2"/>
  <c r="W23" i="2"/>
  <c r="N24" i="2"/>
  <c r="W24" i="2"/>
  <c r="N25" i="2"/>
  <c r="W25" i="2"/>
  <c r="N26" i="2"/>
  <c r="N27" i="2"/>
  <c r="W27" i="2"/>
  <c r="AA20" i="2"/>
  <c r="AB20" i="2"/>
  <c r="AA21" i="2"/>
  <c r="AB21" i="2"/>
  <c r="Z22" i="2"/>
  <c r="AA22" i="2"/>
  <c r="AB22" i="2"/>
  <c r="Z23" i="2"/>
  <c r="AA23" i="2"/>
  <c r="AB23" i="2"/>
  <c r="Z24" i="2"/>
  <c r="AA24" i="2"/>
  <c r="AB24" i="2"/>
  <c r="Z25" i="2"/>
  <c r="AA25" i="2"/>
  <c r="AB25" i="2"/>
  <c r="Z26" i="2"/>
  <c r="AA26" i="2"/>
  <c r="AB26" i="2"/>
  <c r="Z27" i="2"/>
  <c r="AA27" i="2"/>
  <c r="AB27" i="2"/>
  <c r="Z28" i="2"/>
  <c r="AA28" i="2"/>
  <c r="AB28" i="2"/>
  <c r="AA19" i="2"/>
  <c r="E52" i="2"/>
  <c r="F52" i="2" s="1"/>
  <c r="E18" i="2"/>
  <c r="F18" i="2" s="1"/>
  <c r="E19" i="2"/>
  <c r="F19" i="2" s="1"/>
  <c r="E20" i="2"/>
  <c r="F20" i="2" s="1"/>
  <c r="E21" i="2"/>
  <c r="F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F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F36" i="2" s="1"/>
  <c r="E37" i="2"/>
  <c r="F37" i="2" s="1"/>
  <c r="E38" i="2"/>
  <c r="F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F48" i="2" s="1"/>
  <c r="E49" i="2"/>
  <c r="F49" i="2" s="1"/>
  <c r="E50" i="2"/>
  <c r="F50" i="2" s="1"/>
  <c r="E51" i="2"/>
  <c r="F51" i="2" s="1"/>
  <c r="E53" i="2"/>
  <c r="F53" i="2" s="1"/>
  <c r="E54" i="2"/>
  <c r="F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F60" i="2" s="1"/>
  <c r="E61" i="2"/>
  <c r="F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F68" i="2" s="1"/>
  <c r="E69" i="2"/>
  <c r="F69" i="2" s="1"/>
  <c r="E70" i="2"/>
  <c r="F70" i="2" s="1"/>
  <c r="E71" i="2"/>
  <c r="F71" i="2" s="1"/>
  <c r="E72" i="2"/>
  <c r="F72" i="2" s="1"/>
  <c r="E73" i="2"/>
  <c r="F73" i="2" s="1"/>
  <c r="E74" i="2"/>
  <c r="F74" i="2" s="1"/>
  <c r="E75" i="2"/>
  <c r="F75" i="2" s="1"/>
  <c r="E76" i="2"/>
  <c r="F76" i="2" s="1"/>
  <c r="E77" i="2"/>
  <c r="F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F84" i="2" s="1"/>
  <c r="E85" i="2"/>
  <c r="F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F92" i="2" s="1"/>
  <c r="E93" i="2"/>
  <c r="F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F100" i="2" s="1"/>
  <c r="E101" i="2"/>
  <c r="F101" i="2" s="1"/>
  <c r="E102" i="2"/>
  <c r="F102" i="2" s="1"/>
  <c r="E103" i="2"/>
  <c r="F103" i="2" s="1"/>
  <c r="E104" i="2"/>
  <c r="F104" i="2" s="1"/>
  <c r="E105" i="2"/>
  <c r="F105" i="2" s="1"/>
  <c r="E106" i="2"/>
  <c r="F106" i="2" s="1"/>
  <c r="E107" i="2"/>
  <c r="F107" i="2" s="1"/>
  <c r="E108" i="2"/>
  <c r="F108" i="2" s="1"/>
  <c r="E109" i="2"/>
  <c r="F109" i="2" s="1"/>
  <c r="E110" i="2"/>
  <c r="F110" i="2" s="1"/>
  <c r="E111" i="2"/>
  <c r="F111" i="2" s="1"/>
  <c r="E112" i="2"/>
  <c r="F112" i="2" s="1"/>
  <c r="E113" i="2"/>
  <c r="F113" i="2" s="1"/>
  <c r="E114" i="2"/>
  <c r="F114" i="2" s="1"/>
  <c r="E115" i="2"/>
  <c r="F115" i="2" s="1"/>
  <c r="E116" i="2"/>
  <c r="F116" i="2" s="1"/>
  <c r="P8" i="2" l="1"/>
  <c r="AB7" i="2" s="1"/>
  <c r="AA15" i="2"/>
  <c r="N12" i="2"/>
  <c r="I116" i="2" s="1"/>
  <c r="J116" i="2" s="1"/>
  <c r="AB34" i="2"/>
  <c r="S37" i="2" l="1"/>
  <c r="S36" i="2"/>
  <c r="I84" i="2"/>
  <c r="J84" i="2" s="1"/>
  <c r="I37" i="2"/>
  <c r="I81" i="2"/>
  <c r="J81" i="2" s="1"/>
  <c r="I27" i="2"/>
  <c r="J27" i="2" s="1"/>
  <c r="I82" i="2"/>
  <c r="J82" i="2" s="1"/>
  <c r="I73" i="2"/>
  <c r="J73" i="2" s="1"/>
  <c r="I89" i="2"/>
  <c r="J89" i="2" s="1"/>
  <c r="I20" i="2"/>
  <c r="J20" i="2" s="1"/>
  <c r="I106" i="2"/>
  <c r="J106" i="2" s="1"/>
  <c r="I30" i="2"/>
  <c r="J30" i="2" s="1"/>
  <c r="I31" i="2"/>
  <c r="J31" i="2" s="1"/>
  <c r="I91" i="2"/>
  <c r="J91" i="2" s="1"/>
  <c r="I117" i="2"/>
  <c r="J117" i="2" s="1"/>
  <c r="I26" i="2"/>
  <c r="J26" i="2" s="1"/>
  <c r="I99" i="2"/>
  <c r="J99" i="2" s="1"/>
  <c r="I85" i="2"/>
  <c r="J85" i="2" s="1"/>
  <c r="I110" i="2"/>
  <c r="J110" i="2" s="1"/>
  <c r="I103" i="2"/>
  <c r="J103" i="2" s="1"/>
  <c r="I62" i="2"/>
  <c r="J62" i="2" s="1"/>
  <c r="I80" i="2"/>
  <c r="J80" i="2" s="1"/>
  <c r="I57" i="2"/>
  <c r="J57" i="2" s="1"/>
  <c r="I66" i="2"/>
  <c r="J66" i="2" s="1"/>
  <c r="I54" i="2"/>
  <c r="J54" i="2" s="1"/>
  <c r="I77" i="2"/>
  <c r="J77" i="2" s="1"/>
  <c r="I44" i="2"/>
  <c r="J44" i="2" s="1"/>
  <c r="I94" i="2"/>
  <c r="J94" i="2" s="1"/>
  <c r="I71" i="2"/>
  <c r="J71" i="2" s="1"/>
  <c r="I51" i="2"/>
  <c r="J51" i="2" s="1"/>
  <c r="I58" i="2"/>
  <c r="J58" i="2" s="1"/>
  <c r="I76" i="2"/>
  <c r="J76" i="2" s="1"/>
  <c r="I60" i="2"/>
  <c r="J60" i="2" s="1"/>
  <c r="I53" i="2"/>
  <c r="J53" i="2" s="1"/>
  <c r="I104" i="2"/>
  <c r="J104" i="2" s="1"/>
  <c r="I101" i="2"/>
  <c r="J101" i="2" s="1"/>
  <c r="I109" i="2"/>
  <c r="J109" i="2" s="1"/>
  <c r="P12" i="2"/>
  <c r="R12" i="2" s="1"/>
  <c r="T12" i="2" s="1"/>
  <c r="I52" i="2"/>
  <c r="J52" i="2" s="1"/>
  <c r="I28" i="2"/>
  <c r="J28" i="2" s="1"/>
  <c r="I33" i="2"/>
  <c r="J33" i="2" s="1"/>
  <c r="I78" i="2"/>
  <c r="J78" i="2" s="1"/>
  <c r="I19" i="2"/>
  <c r="J19" i="2" s="1"/>
  <c r="I50" i="2"/>
  <c r="J50" i="2" s="1"/>
  <c r="I102" i="2"/>
  <c r="J102" i="2" s="1"/>
  <c r="I48" i="2"/>
  <c r="J48" i="2" s="1"/>
  <c r="I46" i="2"/>
  <c r="J46" i="2" s="1"/>
  <c r="I29" i="2"/>
  <c r="J29" i="2" s="1"/>
  <c r="I34" i="2"/>
  <c r="J34" i="2" s="1"/>
  <c r="I40" i="2"/>
  <c r="J40" i="2" s="1"/>
  <c r="I41" i="2"/>
  <c r="J41" i="2" s="1"/>
  <c r="I59" i="2"/>
  <c r="J59" i="2" s="1"/>
  <c r="I83" i="2"/>
  <c r="J83" i="2" s="1"/>
  <c r="I61" i="2"/>
  <c r="J61" i="2" s="1"/>
  <c r="I86" i="2"/>
  <c r="J86" i="2" s="1"/>
  <c r="I88" i="2"/>
  <c r="J88" i="2" s="1"/>
  <c r="I115" i="2"/>
  <c r="J115" i="2" s="1"/>
  <c r="I17" i="2"/>
  <c r="J17" i="2" s="1"/>
  <c r="I39" i="2"/>
  <c r="J39" i="2" s="1"/>
  <c r="I98" i="2"/>
  <c r="J98" i="2" s="1"/>
  <c r="I93" i="2"/>
  <c r="J93" i="2" s="1"/>
  <c r="I32" i="2"/>
  <c r="J32" i="2" s="1"/>
  <c r="I25" i="2"/>
  <c r="J25" i="2" s="1"/>
  <c r="I75" i="2"/>
  <c r="J75" i="2" s="1"/>
  <c r="I22" i="2"/>
  <c r="J22" i="2" s="1"/>
  <c r="I107" i="2"/>
  <c r="J107" i="2" s="1"/>
  <c r="I95" i="2"/>
  <c r="J95" i="2" s="1"/>
  <c r="I114" i="2"/>
  <c r="J114" i="2" s="1"/>
  <c r="I111" i="2"/>
  <c r="J111" i="2" s="1"/>
  <c r="I63" i="2"/>
  <c r="J63" i="2" s="1"/>
  <c r="I113" i="2"/>
  <c r="J113" i="2" s="1"/>
  <c r="I112" i="2"/>
  <c r="J112" i="2" s="1"/>
  <c r="I56" i="2"/>
  <c r="J56" i="2" s="1"/>
  <c r="I65" i="2"/>
  <c r="J65" i="2" s="1"/>
  <c r="I45" i="2"/>
  <c r="J45" i="2" s="1"/>
  <c r="I64" i="2"/>
  <c r="J64" i="2" s="1"/>
  <c r="I24" i="2"/>
  <c r="J24" i="2" s="1"/>
  <c r="I21" i="2"/>
  <c r="J21" i="2" s="1"/>
  <c r="I108" i="2"/>
  <c r="J108" i="2" s="1"/>
  <c r="I55" i="2"/>
  <c r="J55" i="2" s="1"/>
  <c r="I72" i="2"/>
  <c r="J72" i="2" s="1"/>
  <c r="I42" i="2"/>
  <c r="J42" i="2" s="1"/>
  <c r="I90" i="2"/>
  <c r="J90" i="2" s="1"/>
  <c r="I23" i="2"/>
  <c r="J23" i="2" s="1"/>
  <c r="I36" i="2"/>
  <c r="J36" i="2" s="1"/>
  <c r="I105" i="2"/>
  <c r="J105" i="2" s="1"/>
  <c r="I67" i="2"/>
  <c r="J67" i="2" s="1"/>
  <c r="I79" i="2"/>
  <c r="J79" i="2" s="1"/>
  <c r="I92" i="2"/>
  <c r="J92" i="2" s="1"/>
  <c r="I97" i="2"/>
  <c r="J97" i="2" s="1"/>
  <c r="I35" i="2"/>
  <c r="J35" i="2" s="1"/>
  <c r="I68" i="2"/>
  <c r="J68" i="2" s="1"/>
  <c r="I96" i="2"/>
  <c r="J96" i="2" s="1"/>
  <c r="I74" i="2"/>
  <c r="J74" i="2" s="1"/>
  <c r="AB31" i="2"/>
  <c r="I100" i="2"/>
  <c r="J100" i="2" s="1"/>
  <c r="I70" i="2"/>
  <c r="I69" i="2"/>
  <c r="J69" i="2" s="1"/>
  <c r="I43" i="2"/>
  <c r="J43" i="2" s="1"/>
  <c r="I18" i="2"/>
  <c r="J18" i="2" s="1"/>
  <c r="I49" i="2"/>
  <c r="J49" i="2" s="1"/>
  <c r="I38" i="2"/>
  <c r="J38" i="2" s="1"/>
  <c r="I87" i="2"/>
  <c r="J87" i="2" s="1"/>
  <c r="I47" i="2"/>
  <c r="J47" i="2" s="1"/>
  <c r="J37" i="2" l="1"/>
  <c r="AB5" i="2"/>
  <c r="V7" i="2" s="1"/>
  <c r="J70" i="2"/>
  <c r="O31" i="2"/>
  <c r="S32" i="2" s="1"/>
  <c r="X32" i="2"/>
  <c r="X34" i="2"/>
  <c r="X33" i="2"/>
  <c r="X31" i="2"/>
  <c r="AC34" i="2" l="1"/>
  <c r="N14" i="2" s="1"/>
</calcChain>
</file>

<file path=xl/sharedStrings.xml><?xml version="1.0" encoding="utf-8"?>
<sst xmlns="http://schemas.openxmlformats.org/spreadsheetml/2006/main" count="142" uniqueCount="121">
  <si>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</si>
  <si>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</si>
  <si>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</si>
  <si>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</si>
  <si>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</si>
  <si>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</si>
  <si>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</si>
  <si>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</si>
  <si>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</si>
  <si>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</si>
  <si>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A1</t>
  </si>
  <si>
    <t>B1</t>
  </si>
  <si>
    <t>C1</t>
  </si>
  <si>
    <t>D1</t>
  </si>
  <si>
    <t>E1</t>
  </si>
  <si>
    <t>F1</t>
  </si>
  <si>
    <t>G1</t>
  </si>
  <si>
    <t>H1</t>
  </si>
  <si>
    <t>I1</t>
  </si>
  <si>
    <t>J1</t>
  </si>
  <si>
    <t>A2</t>
  </si>
  <si>
    <t>B2</t>
  </si>
  <si>
    <t>C2</t>
  </si>
  <si>
    <t>D2</t>
  </si>
  <si>
    <t>E2</t>
  </si>
  <si>
    <t>F2</t>
  </si>
  <si>
    <t>G2</t>
  </si>
  <si>
    <t>H2</t>
  </si>
  <si>
    <t>I2</t>
  </si>
  <si>
    <t>J2</t>
  </si>
  <si>
    <t>A3</t>
  </si>
  <si>
    <t>B3</t>
  </si>
  <si>
    <t>C3</t>
  </si>
  <si>
    <t>D3</t>
  </si>
  <si>
    <t>E3</t>
  </si>
  <si>
    <t>F3</t>
  </si>
  <si>
    <t>G3</t>
  </si>
  <si>
    <t>H3</t>
  </si>
  <si>
    <t>I3</t>
  </si>
  <si>
    <t>J3</t>
  </si>
  <si>
    <t>A4</t>
  </si>
  <si>
    <t>B4</t>
  </si>
  <si>
    <t>C4</t>
  </si>
  <si>
    <t>D4</t>
  </si>
  <si>
    <t>E4</t>
  </si>
  <si>
    <t>F4</t>
  </si>
  <si>
    <t>G4</t>
  </si>
  <si>
    <t>H4</t>
  </si>
  <si>
    <t>I4</t>
  </si>
  <si>
    <t>J4</t>
  </si>
  <si>
    <t>A5</t>
  </si>
  <si>
    <t>B5</t>
  </si>
  <si>
    <t>C5</t>
  </si>
  <si>
    <t>D5</t>
  </si>
  <si>
    <t>E5</t>
  </si>
  <si>
    <t>F5</t>
  </si>
  <si>
    <t>G5</t>
  </si>
  <si>
    <t>H5</t>
  </si>
  <si>
    <t>I5</t>
  </si>
  <si>
    <t>J5</t>
  </si>
  <si>
    <t>A6</t>
  </si>
  <si>
    <t>B6</t>
  </si>
  <si>
    <t>C6</t>
  </si>
  <si>
    <t>D6</t>
  </si>
  <si>
    <t>E6</t>
  </si>
  <si>
    <t>F6</t>
  </si>
  <si>
    <t>G6</t>
  </si>
  <si>
    <t>H6</t>
  </si>
  <si>
    <t>I6</t>
  </si>
  <si>
    <t>J6</t>
  </si>
  <si>
    <t>A7</t>
  </si>
  <si>
    <t>B7</t>
  </si>
  <si>
    <t>C7</t>
  </si>
  <si>
    <t>D7</t>
  </si>
  <si>
    <t>E7</t>
  </si>
  <si>
    <t>F7</t>
  </si>
  <si>
    <t>G7</t>
  </si>
  <si>
    <t>H7</t>
  </si>
  <si>
    <t>I7</t>
  </si>
  <si>
    <t>J7</t>
  </si>
  <si>
    <t>A8</t>
  </si>
  <si>
    <t>B8</t>
  </si>
  <si>
    <t>C8</t>
  </si>
  <si>
    <t>D8</t>
  </si>
  <si>
    <t>E8</t>
  </si>
  <si>
    <t>F8</t>
  </si>
  <si>
    <t>G8</t>
  </si>
  <si>
    <t>H8</t>
  </si>
  <si>
    <t>I8</t>
  </si>
  <si>
    <t>J8</t>
  </si>
  <si>
    <t>A9</t>
  </si>
  <si>
    <t>B9</t>
  </si>
  <si>
    <t>C9</t>
  </si>
  <si>
    <t>D9</t>
  </si>
  <si>
    <t>E9</t>
  </si>
  <si>
    <t>F9</t>
  </si>
  <si>
    <t>G9</t>
  </si>
  <si>
    <t>H9</t>
  </si>
  <si>
    <t>I9</t>
  </si>
  <si>
    <t>J9</t>
  </si>
  <si>
    <t>A10</t>
  </si>
  <si>
    <t>B10</t>
  </si>
  <si>
    <t>C10</t>
  </si>
  <si>
    <t>D10</t>
  </si>
  <si>
    <t>E10</t>
  </si>
  <si>
    <t>F10</t>
  </si>
  <si>
    <t>G10</t>
  </si>
  <si>
    <t>H10</t>
  </si>
  <si>
    <t>I10</t>
  </si>
  <si>
    <t>J10</t>
  </si>
  <si>
    <t>codice</t>
  </si>
  <si>
    <t>esito</t>
  </si>
  <si>
    <t>codice2</t>
  </si>
  <si>
    <t>depotenziamento</t>
  </si>
  <si>
    <t>BATTAGLIA NAVALE</t>
  </si>
  <si>
    <t>SPARI:</t>
  </si>
  <si>
    <t>COLPITE</t>
  </si>
  <si>
    <t>NAVI IN CAMPO</t>
  </si>
  <si>
    <t>cont. Navi colpite</t>
  </si>
  <si>
    <t>COORDINATE--&gt;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</si>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</sst>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4" tint="0.3999755851924192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000000"/>
      <name val="Calibri"/>
      <family val="2"/>
    </font>
    <font>
      <b/>
      <sz val="20"/>
      <color rgb="FF000000"/>
      <name val="Calibri"/>
      <family val="2"/>
    </font>
    <font>
      <sz val="8"/>
      <color rgb="FF000000"/>
      <name val="Calibri"/>
      <family val="2"/>
    </font>
    <font>
      <b/>
      <sz val="14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8282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ill="1" applyBorder="1"/>
    <xf numFmtId="0" fontId="2" fillId="0" borderId="0" xfId="0" applyFont="1"/>
    <xf numFmtId="0" fontId="0" fillId="5" borderId="0" xfId="0" applyFill="1"/>
    <xf numFmtId="0" fontId="4" fillId="5" borderId="0" xfId="0" applyFont="1" applyFill="1"/>
    <xf numFmtId="0" fontId="3" fillId="0" borderId="0" xfId="0" applyFont="1" applyAlignment="1">
      <alignment vertical="center"/>
    </xf>
    <xf numFmtId="0" fontId="3" fillId="13" borderId="0" xfId="0" applyFont="1" applyFill="1" applyAlignment="1">
      <alignment vertical="center"/>
    </xf>
    <xf numFmtId="0" fontId="0" fillId="12" borderId="0" xfId="0" applyFill="1"/>
    <xf numFmtId="0" fontId="0" fillId="3" borderId="0" xfId="0" applyFill="1"/>
    <xf numFmtId="0" fontId="4" fillId="11" borderId="6" xfId="0" applyFont="1" applyFill="1" applyBorder="1"/>
    <xf numFmtId="0" fontId="0" fillId="5" borderId="10" xfId="0" applyFill="1" applyBorder="1"/>
    <xf numFmtId="0" fontId="4" fillId="5" borderId="11" xfId="0" applyFont="1" applyFill="1" applyBorder="1"/>
    <xf numFmtId="0" fontId="0" fillId="5" borderId="11" xfId="0" applyFill="1" applyBorder="1"/>
    <xf numFmtId="0" fontId="4" fillId="5" borderId="7" xfId="0" applyFont="1" applyFill="1" applyBorder="1"/>
    <xf numFmtId="0" fontId="4" fillId="5" borderId="8" xfId="0" applyFont="1" applyFill="1" applyBorder="1"/>
    <xf numFmtId="0" fontId="6" fillId="5" borderId="8" xfId="0" applyFont="1" applyFill="1" applyBorder="1" applyAlignment="1">
      <alignment vertical="center"/>
    </xf>
    <xf numFmtId="0" fontId="4" fillId="5" borderId="9" xfId="0" applyFont="1" applyFill="1" applyBorder="1"/>
    <xf numFmtId="0" fontId="0" fillId="0" borderId="0" xfId="0" applyAlignment="1">
      <alignment vertical="top"/>
    </xf>
    <xf numFmtId="0" fontId="8" fillId="5" borderId="0" xfId="0" applyFont="1" applyFill="1" applyAlignment="1">
      <alignment horizontal="center" vertical="center"/>
    </xf>
    <xf numFmtId="0" fontId="0" fillId="5" borderId="0" xfId="0" applyFill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0" fillId="14" borderId="10" xfId="0" applyFill="1" applyBorder="1" applyAlignment="1">
      <alignment horizontal="center"/>
    </xf>
    <xf numFmtId="0" fontId="0" fillId="14" borderId="11" xfId="0" applyFill="1" applyBorder="1"/>
    <xf numFmtId="0" fontId="0" fillId="14" borderId="10" xfId="0" applyFill="1" applyBorder="1"/>
    <xf numFmtId="0" fontId="0" fillId="14" borderId="7" xfId="0" applyFill="1" applyBorder="1"/>
    <xf numFmtId="0" fontId="0" fillId="14" borderId="9" xfId="0" applyFill="1" applyBorder="1"/>
    <xf numFmtId="0" fontId="2" fillId="4" borderId="0" xfId="0" applyFont="1" applyFill="1"/>
    <xf numFmtId="0" fontId="9" fillId="1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11" borderId="14" xfId="0" applyFill="1" applyBorder="1"/>
    <xf numFmtId="0" fontId="13" fillId="15" borderId="12" xfId="0" applyFont="1" applyFill="1" applyBorder="1"/>
    <xf numFmtId="0" fontId="13" fillId="15" borderId="14" xfId="0" applyFont="1" applyFill="1" applyBorder="1"/>
    <xf numFmtId="0" fontId="0" fillId="2" borderId="3" xfId="0" applyFill="1" applyBorder="1"/>
    <xf numFmtId="0" fontId="14" fillId="5" borderId="0" xfId="0" applyFont="1" applyFill="1"/>
    <xf numFmtId="0" fontId="15" fillId="5" borderId="0" xfId="0" applyFont="1" applyFill="1" applyAlignment="1">
      <alignment vertical="center"/>
    </xf>
    <xf numFmtId="0" fontId="16" fillId="14" borderId="10" xfId="0" applyFont="1" applyFill="1" applyBorder="1" applyAlignment="1">
      <alignment horizontal="center"/>
    </xf>
    <xf numFmtId="49" fontId="7" fillId="0" borderId="0" xfId="0" applyNumberFormat="1" applyFon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11" fillId="6" borderId="1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0" fontId="12" fillId="11" borderId="12" xfId="0" applyFont="1" applyFill="1" applyBorder="1" applyAlignment="1">
      <alignment horizontal="center" vertical="center"/>
    </xf>
    <xf numFmtId="0" fontId="12" fillId="11" borderId="13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</cellXfs>
  <cellStyles count="1">
    <cellStyle name="Normal" xfId="0" builtinId="0"/>
  </cellStyles>
  <dxfs count="28">
    <dxf>
      <fill>
        <patternFill>
          <fgColor indexed="64"/>
          <bgColor rgb="FF00B0F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strike/>
      </font>
      <fill>
        <patternFill>
          <bgColor rgb="FFC0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2"/>
      </font>
      <fill>
        <patternFill>
          <bgColor theme="2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C0C0C"/>
      <color rgb="FFF828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13</xdr:row>
          <xdr:rowOff>99060</xdr:rowOff>
        </xdr:from>
        <xdr:to>
          <xdr:col>10</xdr:col>
          <xdr:colOff>30480</xdr:colOff>
          <xdr:row>15</xdr:row>
          <xdr:rowOff>45720</xdr:rowOff>
        </xdr:to>
        <xdr:sp macro="" textlink="">
          <xdr:nvSpPr>
            <xdr:cNvPr id="2050" name="Button 2" descr="SCHIERA I SOLDAT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SCHIERA LA FLOTTA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99060</xdr:colOff>
          <xdr:row>2</xdr:row>
          <xdr:rowOff>99060</xdr:rowOff>
        </xdr:from>
        <xdr:to>
          <xdr:col>20</xdr:col>
          <xdr:colOff>30480</xdr:colOff>
          <xdr:row>5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SPARA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13</xdr:row>
          <xdr:rowOff>114300</xdr:rowOff>
        </xdr:from>
        <xdr:to>
          <xdr:col>12</xdr:col>
          <xdr:colOff>160020</xdr:colOff>
          <xdr:row>15</xdr:row>
          <xdr:rowOff>45720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RITIRA LA FLOTTA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289769</xdr:colOff>
      <xdr:row>10</xdr:row>
      <xdr:rowOff>149521</xdr:rowOff>
    </xdr:from>
    <xdr:to>
      <xdr:col>19</xdr:col>
      <xdr:colOff>128003</xdr:colOff>
      <xdr:row>11</xdr:row>
      <xdr:rowOff>113942</xdr:rowOff>
    </xdr:to>
    <xdr:sp macro="" textlink="">
      <xdr:nvSpPr>
        <xdr:cNvPr id="8" name="Rettango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461594" y="2035471"/>
          <a:ext cx="1762284" cy="14539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12</xdr:col>
      <xdr:colOff>358909</xdr:colOff>
      <xdr:row>11</xdr:row>
      <xdr:rowOff>171132</xdr:rowOff>
    </xdr:from>
    <xdr:to>
      <xdr:col>15</xdr:col>
      <xdr:colOff>16009</xdr:colOff>
      <xdr:row>12</xdr:row>
      <xdr:rowOff>180655</xdr:rowOff>
    </xdr:to>
    <xdr:sp macro="" textlink="">
      <xdr:nvSpPr>
        <xdr:cNvPr id="11" name="Rettango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801791" y="2233014"/>
          <a:ext cx="766483" cy="188817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0000"/>
              </a:solidFill>
            </a:rPr>
            <a:t>GENERALE</a:t>
          </a:r>
          <a:endParaRPr lang="it-IT" sz="2400" b="1">
            <a:solidFill>
              <a:srgbClr val="FF0000"/>
            </a:solidFill>
          </a:endParaRPr>
        </a:p>
      </xdr:txBody>
    </xdr:sp>
    <xdr:clientData/>
  </xdr:twoCellAnchor>
  <xdr:twoCellAnchor>
    <xdr:from>
      <xdr:col>20</xdr:col>
      <xdr:colOff>209550</xdr:colOff>
      <xdr:row>4</xdr:row>
      <xdr:rowOff>172811</xdr:rowOff>
    </xdr:from>
    <xdr:to>
      <xdr:col>23</xdr:col>
      <xdr:colOff>153760</xdr:colOff>
      <xdr:row>5</xdr:row>
      <xdr:rowOff>172809</xdr:rowOff>
    </xdr:to>
    <xdr:sp macro="" textlink="">
      <xdr:nvSpPr>
        <xdr:cNvPr id="30" name="Rettangol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5638800" y="972911"/>
          <a:ext cx="1106260" cy="180973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0000"/>
              </a:solidFill>
            </a:rPr>
            <a:t>ARTIGLIERE</a:t>
          </a:r>
          <a:endParaRPr lang="it-IT" sz="2400" b="1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60960</xdr:rowOff>
        </xdr:from>
        <xdr:to>
          <xdr:col>16</xdr:col>
          <xdr:colOff>0</xdr:colOff>
          <xdr:row>9</xdr:row>
          <xdr:rowOff>106680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SOLUZIONE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678180</xdr:colOff>
          <xdr:row>4</xdr:row>
          <xdr:rowOff>0</xdr:rowOff>
        </xdr:from>
        <xdr:to>
          <xdr:col>25</xdr:col>
          <xdr:colOff>769620</xdr:colOff>
          <xdr:row>6</xdr:row>
          <xdr:rowOff>60960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DIFFICILE (40 spari)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678180</xdr:colOff>
          <xdr:row>5</xdr:row>
          <xdr:rowOff>160020</xdr:rowOff>
        </xdr:from>
        <xdr:to>
          <xdr:col>25</xdr:col>
          <xdr:colOff>601980</xdr:colOff>
          <xdr:row>7</xdr:row>
          <xdr:rowOff>38100</xdr:rowOff>
        </xdr:to>
        <xdr:sp macro="" textlink="">
          <xdr:nvSpPr>
            <xdr:cNvPr id="2067" name="Option 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NORMALE (60 spari)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</xdr:row>
          <xdr:rowOff>144780</xdr:rowOff>
        </xdr:from>
        <xdr:to>
          <xdr:col>25</xdr:col>
          <xdr:colOff>960120</xdr:colOff>
          <xdr:row>11</xdr:row>
          <xdr:rowOff>2732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IMPOSSIBILE PERDERE (100 spari)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678180</xdr:colOff>
          <xdr:row>7</xdr:row>
          <xdr:rowOff>7620</xdr:rowOff>
        </xdr:from>
        <xdr:to>
          <xdr:col>25</xdr:col>
          <xdr:colOff>480060</xdr:colOff>
          <xdr:row>9</xdr:row>
          <xdr:rowOff>60960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FACILE (70 spari)</a:t>
              </a:r>
            </a:p>
          </xdr:txBody>
        </xdr:sp>
        <xdr:clientData/>
      </xdr:twoCellAnchor>
    </mc:Choice>
    <mc:Fallback/>
  </mc:AlternateContent>
  <xdr:twoCellAnchor>
    <xdr:from>
      <xdr:col>24</xdr:col>
      <xdr:colOff>27332</xdr:colOff>
      <xdr:row>2</xdr:row>
      <xdr:rowOff>47625</xdr:rowOff>
    </xdr:from>
    <xdr:to>
      <xdr:col>25</xdr:col>
      <xdr:colOff>1114425</xdr:colOff>
      <xdr:row>4</xdr:row>
      <xdr:rowOff>34279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304432" y="504825"/>
          <a:ext cx="1677643" cy="329554"/>
        </a:xfrm>
        <a:prstGeom prst="rect">
          <a:avLst/>
        </a:prstGeom>
        <a:solidFill>
          <a:srgbClr val="C00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>
              <a:solidFill>
                <a:schemeClr val="tx1"/>
              </a:solidFill>
            </a:rPr>
            <a:t>DIFFICOLTA'</a:t>
          </a:r>
          <a:endParaRPr lang="it-IT" sz="1400" b="1"/>
        </a:p>
      </xdr:txBody>
    </xdr:sp>
    <xdr:clientData/>
  </xdr:twoCellAnchor>
  <xdr:twoCellAnchor>
    <xdr:from>
      <xdr:col>0</xdr:col>
      <xdr:colOff>0</xdr:colOff>
      <xdr:row>15</xdr:row>
      <xdr:rowOff>263981</xdr:rowOff>
    </xdr:from>
    <xdr:to>
      <xdr:col>26</xdr:col>
      <xdr:colOff>2931</xdr:colOff>
      <xdr:row>139</xdr:row>
      <xdr:rowOff>320292</xdr:rowOff>
    </xdr:to>
    <xdr:sp macro="" textlink="">
      <xdr:nvSpPr>
        <xdr:cNvPr id="20" name="Rettango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0" y="3130552"/>
          <a:ext cx="9019931" cy="3548811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ctr"/>
          <a:r>
            <a:rPr lang="it-IT" sz="18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REGOLE</a:t>
          </a:r>
        </a:p>
        <a:p>
          <a:pPr indent="0" algn="l"/>
          <a:r>
            <a:rPr lang="it-IT" sz="12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1)</a:t>
          </a:r>
          <a:r>
            <a:rPr lang="it-IT" sz="12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Schierare la </a:t>
          </a:r>
          <a:r>
            <a:rPr lang="it-IT" sz="1200" b="1" baseline="0">
              <a:solidFill>
                <a:schemeClr val="accent4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flotta</a:t>
          </a:r>
          <a:r>
            <a:rPr lang="it-IT" sz="1200" baseline="0">
              <a:solidFill>
                <a:schemeClr val="accent4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 </a:t>
          </a:r>
        </a:p>
        <a:p>
          <a:pPr indent="0" algn="l"/>
          <a:r>
            <a:rPr lang="it-IT" sz="12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2)Comunica all'artigliere le coordinate della casella inserendole nella </a:t>
          </a:r>
          <a:r>
            <a:rPr lang="it-IT" sz="1200" b="1" u="sng" baseline="0">
              <a:solidFill>
                <a:srgbClr val="7030A0"/>
              </a:solidFill>
              <a:latin typeface="+mn-lt"/>
              <a:ea typeface="+mn-ea"/>
              <a:cs typeface="+mn-cs"/>
            </a:rPr>
            <a:t>cella delle coordinate</a:t>
          </a:r>
          <a:r>
            <a:rPr lang="it-IT" sz="12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.</a:t>
          </a:r>
        </a:p>
        <a:p>
          <a:pPr indent="0" algn="l"/>
          <a:r>
            <a:rPr lang="it-IT" sz="12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3)Premere pulsante "</a:t>
          </a:r>
          <a:r>
            <a:rPr lang="it-IT" sz="1200" b="1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SPARA</a:t>
          </a:r>
          <a:r>
            <a:rPr lang="it-IT" sz="12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"" per comunicare all'artigliere di sparare.</a:t>
          </a:r>
        </a:p>
        <a:p>
          <a:pPr indent="0" algn="l"/>
          <a:r>
            <a:rPr lang="it-IT" sz="12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4)La casella si colorerà di rosso se ha</a:t>
          </a:r>
          <a:r>
            <a:rPr lang="it-IT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i</a:t>
          </a:r>
          <a:r>
            <a:rPr lang="it-IT" sz="1200" b="1" baseline="0">
              <a:solidFill>
                <a:srgbClr val="FF0000"/>
              </a:solidFill>
              <a:latin typeface="+mn-lt"/>
              <a:ea typeface="+mn-ea"/>
              <a:cs typeface="+mn-cs"/>
            </a:rPr>
            <a:t> COLPITO </a:t>
          </a:r>
          <a:r>
            <a:rPr lang="it-IT" sz="1200" b="0" baseline="0">
              <a:solidFill>
                <a:schemeClr val="bg1"/>
              </a:solidFill>
              <a:latin typeface="+mn-lt"/>
              <a:ea typeface="+mn-ea"/>
              <a:cs typeface="+mn-cs"/>
            </a:rPr>
            <a:t>una</a:t>
          </a:r>
          <a:r>
            <a:rPr lang="it-IT" sz="1200" b="1" baseline="0">
              <a:solidFill>
                <a:srgbClr val="FF0000"/>
              </a:solidFill>
              <a:latin typeface="+mn-lt"/>
              <a:ea typeface="+mn-ea"/>
              <a:cs typeface="+mn-cs"/>
            </a:rPr>
            <a:t> </a:t>
          </a:r>
          <a:r>
            <a:rPr lang="it-IT" sz="12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nave; di blu se invece </a:t>
          </a:r>
          <a:r>
            <a:rPr lang="it-IT" sz="1200" baseline="0">
              <a:solidFill>
                <a:schemeClr val="bg1"/>
              </a:solidFill>
              <a:latin typeface="+mn-lt"/>
              <a:ea typeface="+mn-ea"/>
              <a:cs typeface="+mn-cs"/>
            </a:rPr>
            <a:t>era </a:t>
          </a:r>
          <a:r>
            <a:rPr lang="it-IT" sz="1200" b="1" baseline="0">
              <a:solidFill>
                <a:schemeClr val="accent5"/>
              </a:solidFill>
              <a:latin typeface="+mn-lt"/>
              <a:ea typeface="+mn-ea"/>
              <a:cs typeface="+mn-cs"/>
            </a:rPr>
            <a:t>ACQUA</a:t>
          </a:r>
          <a:r>
            <a:rPr lang="it-IT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.</a:t>
          </a:r>
          <a:endParaRPr lang="it-IT" sz="1200" b="1" baseline="0">
            <a:solidFill>
              <a:schemeClr val="accent5"/>
            </a:solidFill>
            <a:latin typeface="+mn-lt"/>
            <a:ea typeface="+mn-ea"/>
            <a:cs typeface="+mn-cs"/>
          </a:endParaRPr>
        </a:p>
        <a:p>
          <a:pPr indent="0" algn="l"/>
          <a:r>
            <a:rPr lang="it-IT" sz="1200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5)Premere il pulsante "</a:t>
          </a:r>
          <a:r>
            <a:rPr lang="it-IT" sz="1200" b="1" u="none" baseline="0">
              <a:solidFill>
                <a:srgbClr val="92D050"/>
              </a:solidFill>
              <a:latin typeface="+mn-lt"/>
              <a:ea typeface="+mn-ea"/>
              <a:cs typeface="+mn-cs"/>
            </a:rPr>
            <a:t>SOLUZIONE</a:t>
          </a:r>
          <a:r>
            <a:rPr lang="it-IT" sz="1200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" per una esperienza di gioco più facile mostrando la posizione delle navi.</a:t>
          </a:r>
        </a:p>
        <a:p>
          <a:pPr indent="0" algn="l"/>
          <a:r>
            <a:rPr lang="it-IT" sz="1200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6)Man mano che si va avanti con le partite si può pure aumentare il grado di difficoltà scegliendo il numero di tentativi a disposizione nella sezione "</a:t>
          </a:r>
          <a:r>
            <a:rPr lang="it-IT" sz="1200" b="1" u="none" baseline="0">
              <a:solidFill>
                <a:srgbClr val="FF0000"/>
              </a:solidFill>
              <a:latin typeface="+mn-lt"/>
              <a:ea typeface="+mn-ea"/>
              <a:cs typeface="+mn-cs"/>
            </a:rPr>
            <a:t>DIFFICOLTA</a:t>
          </a:r>
          <a:r>
            <a:rPr lang="it-IT" sz="1200" u="none" baseline="0">
              <a:solidFill>
                <a:srgbClr val="FF0000"/>
              </a:solidFill>
              <a:latin typeface="+mn-lt"/>
              <a:ea typeface="+mn-ea"/>
              <a:cs typeface="+mn-cs"/>
            </a:rPr>
            <a:t>'</a:t>
          </a:r>
          <a:r>
            <a:rPr lang="it-IT" sz="1200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".</a:t>
          </a:r>
        </a:p>
        <a:p>
          <a:pPr indent="0" algn="l"/>
          <a:r>
            <a:rPr lang="it-IT" sz="1200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7) Il gioco è stato sottoposto a più situazioni possibili (errori; coordinate mancanti; ecc.) quindi sta attento a cosa dice il </a:t>
          </a:r>
          <a:r>
            <a:rPr lang="it-IT" sz="1200" b="1" u="none" baseline="0">
              <a:solidFill>
                <a:srgbClr val="FF0000"/>
              </a:solidFill>
              <a:latin typeface="+mn-lt"/>
              <a:ea typeface="+mn-ea"/>
              <a:cs typeface="+mn-cs"/>
            </a:rPr>
            <a:t>Generale</a:t>
          </a:r>
          <a:r>
            <a:rPr lang="it-IT" sz="1200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 e l'</a:t>
          </a:r>
          <a:r>
            <a:rPr lang="it-IT" sz="1200" b="1" u="none" baseline="0">
              <a:solidFill>
                <a:srgbClr val="FF0000"/>
              </a:solidFill>
              <a:latin typeface="+mn-lt"/>
              <a:ea typeface="+mn-ea"/>
              <a:cs typeface="+mn-cs"/>
            </a:rPr>
            <a:t>artigliere </a:t>
          </a:r>
          <a:r>
            <a:rPr lang="it-IT" sz="1200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nonappena sbagli ;)</a:t>
          </a:r>
        </a:p>
        <a:p>
          <a:pPr indent="0" algn="l"/>
          <a:r>
            <a:rPr lang="it-IT" sz="1200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8) Per resettare tutta la partita schiacciare il pulsante "RITIRA FLOTTA) </a:t>
          </a:r>
        </a:p>
        <a:p>
          <a:pPr indent="0" algn="ctr"/>
          <a:endParaRPr lang="it-IT" sz="1200" u="sng" baseline="0">
            <a:solidFill>
              <a:srgbClr val="FFFF00"/>
            </a:solidFill>
            <a:latin typeface="+mn-lt"/>
            <a:ea typeface="+mn-ea"/>
            <a:cs typeface="+mn-cs"/>
          </a:endParaRPr>
        </a:p>
        <a:p>
          <a:pPr indent="0" algn="ctr"/>
          <a:r>
            <a:rPr lang="it-IT" sz="1200" u="sng" baseline="0">
              <a:solidFill>
                <a:srgbClr val="FFFF00"/>
              </a:solidFill>
              <a:latin typeface="+mn-lt"/>
              <a:ea typeface="+mn-ea"/>
              <a:cs typeface="+mn-cs"/>
            </a:rPr>
            <a:t>CONDIZIONI DI VITTORIA</a:t>
          </a:r>
        </a:p>
        <a:p>
          <a:pPr indent="0" algn="ctr"/>
          <a:r>
            <a:rPr lang="it-IT" sz="1600" b="1" u="sng" baseline="0">
              <a:solidFill>
                <a:srgbClr val="FF0000"/>
              </a:solidFill>
              <a:latin typeface="+mn-lt"/>
              <a:ea typeface="+mn-ea"/>
              <a:cs typeface="+mn-cs"/>
            </a:rPr>
            <a:t>Colpire tutte le navi entro il limite degli spari a disposizione</a:t>
          </a:r>
        </a:p>
        <a:p>
          <a:pPr indent="0" algn="ctr"/>
          <a:endParaRPr lang="it-IT" sz="1600" b="1">
            <a:solidFill>
              <a:schemeClr val="lt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24</xdr:col>
      <xdr:colOff>66707</xdr:colOff>
      <xdr:row>12</xdr:row>
      <xdr:rowOff>2071</xdr:rowOff>
    </xdr:from>
    <xdr:to>
      <xdr:col>25</xdr:col>
      <xdr:colOff>1029911</xdr:colOff>
      <xdr:row>14</xdr:row>
      <xdr:rowOff>231593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335015" y="2273417"/>
          <a:ext cx="1556684" cy="610522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200"/>
            <a:t>Ideato</a:t>
          </a:r>
          <a:r>
            <a:rPr lang="it-IT" sz="1200" baseline="0"/>
            <a:t> e progettato da </a:t>
          </a:r>
          <a:r>
            <a:rPr lang="it-IT" sz="1200" i="1" u="sng" baseline="0"/>
            <a:t>Davide Scapellato</a:t>
          </a:r>
        </a:p>
      </xdr:txBody>
    </xdr:sp>
    <xdr:clientData/>
  </xdr:twoCellAnchor>
  <xdr:twoCellAnchor>
    <xdr:from>
      <xdr:col>15</xdr:col>
      <xdr:colOff>247905</xdr:colOff>
      <xdr:row>7</xdr:row>
      <xdr:rowOff>166227</xdr:rowOff>
    </xdr:from>
    <xdr:to>
      <xdr:col>16</xdr:col>
      <xdr:colOff>149087</xdr:colOff>
      <xdr:row>9</xdr:row>
      <xdr:rowOff>57979</xdr:rowOff>
    </xdr:to>
    <xdr:sp macro="[0]!Macro27" textlink="">
      <xdr:nvSpPr>
        <xdr:cNvPr id="5" name="Segno di moltiplicazio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784579" y="1574270"/>
          <a:ext cx="273899" cy="256187"/>
        </a:xfrm>
        <a:prstGeom prst="mathMultiply">
          <a:avLst/>
        </a:prstGeom>
        <a:solidFill>
          <a:srgbClr val="FC0C0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EDA34-3FEA-4AD1-93E5-251CAFB65EFA}">
  <sheetPr codeName="Foglio1"/>
  <dimension ref="A1:AM243"/>
  <sheetViews>
    <sheetView tabSelected="1" zoomScale="106" zoomScaleNormal="115" workbookViewId="0">
      <selection activeCell="AF137" sqref="AF137"/>
    </sheetView>
  </sheetViews>
  <sheetFormatPr defaultRowHeight="14.4" x14ac:dyDescent="0.3"/>
  <cols>
    <col min="1" max="1" width="3" customWidth="1"/>
    <col min="2" max="2" width="3.44140625" customWidth="1"/>
    <col min="3" max="12" width="3" customWidth="1"/>
    <col min="13" max="18" width="5.5546875" customWidth="1"/>
    <col min="19" max="19" width="6.5546875" customWidth="1"/>
    <col min="20" max="20" width="5" customWidth="1"/>
    <col min="21" max="21" width="3.44140625" customWidth="1"/>
    <col min="22" max="22" width="7.33203125" customWidth="1"/>
    <col min="23" max="23" width="6.88671875" customWidth="1"/>
    <col min="24" max="24" width="10.33203125" customWidth="1"/>
    <col min="25" max="25" width="8.88671875" customWidth="1"/>
    <col min="26" max="26" width="17.109375" customWidth="1"/>
    <col min="27" max="27" width="7.109375" hidden="1" customWidth="1"/>
    <col min="28" max="28" width="7.5546875" customWidth="1"/>
    <col min="29" max="29" width="3.21875" customWidth="1"/>
    <col min="30" max="39" width="3.109375" customWidth="1"/>
  </cols>
  <sheetData>
    <row r="1" spans="1:39" ht="1.5" customHeight="1" thickBot="1" x14ac:dyDescent="0.35">
      <c r="P1" s="28">
        <v>1</v>
      </c>
      <c r="Q1" s="2">
        <v>0</v>
      </c>
      <c r="R1" s="2">
        <v>3</v>
      </c>
    </row>
    <row r="2" spans="1:39" ht="34.5" customHeight="1" thickBot="1" x14ac:dyDescent="0.35">
      <c r="A2" s="43" t="s">
        <v>114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32"/>
      <c r="Y2" s="33" t="b">
        <f>AND(W4&gt;70)</f>
        <v>0</v>
      </c>
      <c r="Z2" s="34"/>
      <c r="AA2" s="9"/>
    </row>
    <row r="3" spans="1:39" ht="12" customHeight="1" thickBot="1" x14ac:dyDescent="0.35">
      <c r="A3" s="10"/>
      <c r="B3" s="3"/>
      <c r="C3" s="18" t="s">
        <v>0</v>
      </c>
      <c r="D3" s="18" t="s">
        <v>1</v>
      </c>
      <c r="E3" s="18" t="s">
        <v>2</v>
      </c>
      <c r="F3" s="18" t="s">
        <v>3</v>
      </c>
      <c r="G3" s="18" t="s">
        <v>4</v>
      </c>
      <c r="H3" s="18" t="s">
        <v>5</v>
      </c>
      <c r="I3" s="18" t="s">
        <v>6</v>
      </c>
      <c r="J3" s="18" t="s">
        <v>7</v>
      </c>
      <c r="K3" s="18" t="s">
        <v>8</v>
      </c>
      <c r="L3" s="18" t="s">
        <v>9</v>
      </c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8"/>
      <c r="Z3" s="24"/>
      <c r="AA3" s="11"/>
      <c r="AD3" t="s">
        <v>0</v>
      </c>
      <c r="AE3" t="s">
        <v>1</v>
      </c>
      <c r="AF3" t="s">
        <v>2</v>
      </c>
      <c r="AG3" t="s">
        <v>3</v>
      </c>
      <c r="AH3" t="s">
        <v>4</v>
      </c>
      <c r="AI3" t="s">
        <v>5</v>
      </c>
      <c r="AJ3" t="s">
        <v>6</v>
      </c>
      <c r="AK3" t="s">
        <v>7</v>
      </c>
      <c r="AL3" t="s">
        <v>8</v>
      </c>
      <c r="AM3" t="s">
        <v>9</v>
      </c>
    </row>
    <row r="4" spans="1:39" ht="15" customHeight="1" thickTop="1" thickBot="1" x14ac:dyDescent="0.35">
      <c r="A4" s="10"/>
      <c r="B4" s="3">
        <v>1</v>
      </c>
      <c r="C4" s="1"/>
      <c r="D4" s="1"/>
      <c r="E4" s="1"/>
      <c r="F4" s="1"/>
      <c r="G4" s="1"/>
      <c r="H4" s="1"/>
      <c r="I4" s="1"/>
      <c r="J4" s="1"/>
      <c r="K4" s="1"/>
      <c r="L4" s="1"/>
      <c r="M4" s="3"/>
      <c r="N4" s="41" t="s">
        <v>119</v>
      </c>
      <c r="O4" s="42"/>
      <c r="P4" s="31"/>
      <c r="Q4" s="3"/>
      <c r="R4" s="3"/>
      <c r="S4" s="3"/>
      <c r="T4" s="3"/>
      <c r="U4" s="3"/>
      <c r="V4" s="21" t="s">
        <v>115</v>
      </c>
      <c r="W4" s="20">
        <f>S16</f>
        <v>0</v>
      </c>
      <c r="X4" s="3"/>
      <c r="Y4" s="25"/>
      <c r="Z4" s="24"/>
      <c r="AA4" s="11"/>
      <c r="AC4">
        <v>1</v>
      </c>
      <c r="AD4">
        <v>0</v>
      </c>
      <c r="AE4">
        <v>0</v>
      </c>
      <c r="AF4">
        <v>1</v>
      </c>
      <c r="AG4">
        <v>0</v>
      </c>
      <c r="AH4">
        <v>0</v>
      </c>
      <c r="AI4">
        <v>0</v>
      </c>
      <c r="AJ4">
        <v>0</v>
      </c>
      <c r="AK4">
        <v>0</v>
      </c>
      <c r="AL4">
        <v>1</v>
      </c>
      <c r="AM4">
        <v>1</v>
      </c>
    </row>
    <row r="5" spans="1:39" ht="14.25" customHeight="1" thickTop="1" x14ac:dyDescent="0.3">
      <c r="A5" s="10"/>
      <c r="B5" s="3">
        <v>2</v>
      </c>
      <c r="C5" s="1"/>
      <c r="D5" s="1"/>
      <c r="E5" s="1"/>
      <c r="F5" s="1"/>
      <c r="G5" s="1"/>
      <c r="H5" s="1"/>
      <c r="I5" s="1"/>
      <c r="J5" s="1"/>
      <c r="K5" s="1"/>
      <c r="L5" s="1"/>
      <c r="M5" s="3"/>
      <c r="N5" s="19"/>
      <c r="O5" s="4"/>
      <c r="P5" s="4" t="s">
        <v>12</v>
      </c>
      <c r="Q5" s="3"/>
      <c r="R5" s="3"/>
      <c r="S5" s="3"/>
      <c r="T5" s="3"/>
      <c r="U5" s="3"/>
      <c r="V5" s="3"/>
      <c r="W5" s="3"/>
      <c r="X5" s="3"/>
      <c r="Y5" s="25"/>
      <c r="Z5" s="24"/>
      <c r="AA5" s="11"/>
      <c r="AB5" s="2">
        <f>IF(AB7,IFERROR(IF(R12,1,2),3),0)</f>
        <v>0</v>
      </c>
      <c r="AC5">
        <v>2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1</v>
      </c>
      <c r="AK5">
        <v>0</v>
      </c>
      <c r="AL5">
        <v>0</v>
      </c>
      <c r="AM5">
        <v>0</v>
      </c>
    </row>
    <row r="6" spans="1:39" ht="14.25" customHeight="1" thickBot="1" x14ac:dyDescent="0.35">
      <c r="A6" s="10"/>
      <c r="B6" s="3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3"/>
      <c r="N6" s="3"/>
      <c r="O6" s="4"/>
      <c r="P6" s="4"/>
      <c r="Q6" s="3"/>
      <c r="R6" s="3"/>
      <c r="S6" s="3"/>
      <c r="T6" s="3"/>
      <c r="U6" s="3"/>
      <c r="V6" s="3"/>
      <c r="W6" s="3"/>
      <c r="X6" s="3"/>
      <c r="Y6" s="23"/>
      <c r="Z6" s="24"/>
      <c r="AA6" s="11"/>
      <c r="AC6">
        <v>3</v>
      </c>
      <c r="AD6">
        <v>0</v>
      </c>
      <c r="AE6">
        <v>1</v>
      </c>
      <c r="AF6">
        <v>1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</row>
    <row r="7" spans="1:39" ht="14.25" customHeight="1" x14ac:dyDescent="0.3">
      <c r="A7" s="10"/>
      <c r="B7" s="3">
        <v>4</v>
      </c>
      <c r="C7" s="1"/>
      <c r="D7" s="1"/>
      <c r="E7" s="1"/>
      <c r="F7" s="1"/>
      <c r="G7" s="1"/>
      <c r="H7" s="1"/>
      <c r="I7" s="1"/>
      <c r="J7" s="1"/>
      <c r="K7" s="1"/>
      <c r="L7" s="1"/>
      <c r="M7" s="3"/>
      <c r="N7" s="3"/>
      <c r="O7" s="3"/>
      <c r="P7" s="3"/>
      <c r="Q7" s="3"/>
      <c r="R7" s="3"/>
      <c r="S7" s="3"/>
      <c r="T7" s="3"/>
      <c r="U7" s="3"/>
      <c r="V7" s="50" t="str">
        <f>IF(AA15,"COMPLIMENTI SIGNORE!",IF(AB5=0,"ASPETTO ORDINI!",IF(AB5=1,"COLPITO!",IF(AB5=2,"ACQUA!","Qualcosa è andato storto..."))))</f>
        <v>ASPETTO ORDINI!</v>
      </c>
      <c r="W7" s="51"/>
      <c r="X7" s="51"/>
      <c r="Y7" s="25"/>
      <c r="Z7" s="24"/>
      <c r="AA7" s="11"/>
      <c r="AB7" s="2" t="b">
        <f>AND(W4&gt;0,P8&gt;0)</f>
        <v>0</v>
      </c>
      <c r="AC7">
        <v>4</v>
      </c>
      <c r="AD7">
        <v>0</v>
      </c>
      <c r="AE7">
        <v>1</v>
      </c>
      <c r="AF7">
        <v>0</v>
      </c>
      <c r="AG7">
        <v>1</v>
      </c>
      <c r="AH7">
        <v>0</v>
      </c>
      <c r="AI7">
        <v>1</v>
      </c>
      <c r="AJ7">
        <v>1</v>
      </c>
      <c r="AK7">
        <v>0</v>
      </c>
      <c r="AL7">
        <v>0</v>
      </c>
      <c r="AM7">
        <v>0</v>
      </c>
    </row>
    <row r="8" spans="1:39" ht="14.25" customHeight="1" x14ac:dyDescent="0.3">
      <c r="A8" s="10"/>
      <c r="B8" s="3">
        <v>5</v>
      </c>
      <c r="C8" s="1"/>
      <c r="D8" s="1"/>
      <c r="E8" s="1"/>
      <c r="F8" s="1"/>
      <c r="G8" s="1"/>
      <c r="H8" s="1"/>
      <c r="I8" s="1"/>
      <c r="J8" s="1"/>
      <c r="K8" s="1"/>
      <c r="L8" s="1"/>
      <c r="M8" s="3"/>
      <c r="N8" s="45" t="s">
        <v>117</v>
      </c>
      <c r="O8" s="45"/>
      <c r="P8" s="30">
        <f>COUNTIF(N18:W27,1)-T8</f>
        <v>0</v>
      </c>
      <c r="Q8" s="3"/>
      <c r="R8" s="3"/>
      <c r="S8" s="22" t="s">
        <v>116</v>
      </c>
      <c r="T8" s="29">
        <f>R32</f>
        <v>0</v>
      </c>
      <c r="U8" s="3"/>
      <c r="V8" s="52"/>
      <c r="W8" s="53"/>
      <c r="X8" s="53"/>
      <c r="Y8" s="25"/>
      <c r="Z8" s="24"/>
      <c r="AA8" s="11"/>
      <c r="AC8">
        <v>5</v>
      </c>
      <c r="AD8">
        <v>0</v>
      </c>
      <c r="AE8">
        <v>1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</row>
    <row r="9" spans="1:39" ht="14.25" customHeight="1" thickBot="1" x14ac:dyDescent="0.35">
      <c r="A9" s="10"/>
      <c r="B9" s="3">
        <v>6</v>
      </c>
      <c r="C9" s="1"/>
      <c r="D9" s="1"/>
      <c r="E9" s="1"/>
      <c r="F9" s="1"/>
      <c r="G9" s="1"/>
      <c r="H9" s="1"/>
      <c r="I9" s="1"/>
      <c r="J9" s="1"/>
      <c r="K9" s="1"/>
      <c r="L9" s="1"/>
      <c r="M9" s="3"/>
      <c r="N9" s="3"/>
      <c r="O9" s="3"/>
      <c r="P9" s="3"/>
      <c r="Q9" s="3"/>
      <c r="R9" s="3"/>
      <c r="S9" s="3"/>
      <c r="T9" s="3"/>
      <c r="U9" s="3"/>
      <c r="V9" s="54"/>
      <c r="W9" s="55"/>
      <c r="X9" s="55"/>
      <c r="Y9" s="25"/>
      <c r="Z9" s="24"/>
      <c r="AA9" s="11"/>
      <c r="AC9">
        <v>6</v>
      </c>
      <c r="AD9">
        <v>0</v>
      </c>
      <c r="AE9">
        <v>1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</v>
      </c>
    </row>
    <row r="10" spans="1:39" ht="14.25" customHeight="1" x14ac:dyDescent="0.3">
      <c r="A10" s="10"/>
      <c r="B10" s="3">
        <v>7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25"/>
      <c r="Z10" s="24"/>
      <c r="AA10" s="12"/>
      <c r="AC10">
        <v>7</v>
      </c>
      <c r="AD10">
        <v>1</v>
      </c>
      <c r="AE10">
        <v>0</v>
      </c>
      <c r="AF10">
        <v>0</v>
      </c>
      <c r="AG10">
        <v>0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</row>
    <row r="11" spans="1:39" ht="14.25" customHeight="1" x14ac:dyDescent="0.3">
      <c r="A11" s="10"/>
      <c r="B11" s="3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4"/>
      <c r="N11" s="4" t="s">
        <v>110</v>
      </c>
      <c r="O11" s="4"/>
      <c r="P11" s="4" t="s">
        <v>112</v>
      </c>
      <c r="Q11" s="4"/>
      <c r="R11" s="4" t="s">
        <v>111</v>
      </c>
      <c r="S11" s="4"/>
      <c r="T11" s="4" t="s">
        <v>113</v>
      </c>
      <c r="U11" s="4"/>
      <c r="V11" s="4"/>
      <c r="W11" s="4"/>
      <c r="X11" s="36"/>
      <c r="Y11" s="23"/>
      <c r="Z11" s="24"/>
      <c r="AA11" s="12"/>
      <c r="AC11">
        <v>8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0</v>
      </c>
      <c r="AM11">
        <v>0</v>
      </c>
    </row>
    <row r="12" spans="1:39" ht="14.25" customHeight="1" x14ac:dyDescent="0.3">
      <c r="A12" s="10"/>
      <c r="B12" s="3">
        <v>9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4"/>
      <c r="N12" s="4">
        <f>IF(W34,0,IFERROR(VLOOKUP(P5,C17:D116,2,FALSE),0))</f>
        <v>0</v>
      </c>
      <c r="O12" s="4"/>
      <c r="P12" s="4" t="e">
        <f>LOOKUP(N12,D17:D116,G17:G116)</f>
        <v>#N/A</v>
      </c>
      <c r="Q12" s="4"/>
      <c r="R12" s="4" t="e">
        <f>AND(P12=1)</f>
        <v>#N/A</v>
      </c>
      <c r="S12" s="4"/>
      <c r="T12" s="4" t="e">
        <f>IF(R12,1,-1)</f>
        <v>#N/A</v>
      </c>
      <c r="U12" s="4"/>
      <c r="V12" s="4"/>
      <c r="W12" s="4"/>
      <c r="X12" s="36"/>
      <c r="Y12" s="25"/>
      <c r="Z12" s="24"/>
      <c r="AA12" s="12"/>
      <c r="AC12">
        <v>9</v>
      </c>
      <c r="AD12">
        <v>0</v>
      </c>
      <c r="AE12">
        <v>0</v>
      </c>
      <c r="AF12">
        <v>1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</row>
    <row r="13" spans="1:39" ht="15" customHeight="1" thickBot="1" x14ac:dyDescent="0.35">
      <c r="A13" s="10"/>
      <c r="B13" s="3">
        <v>10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3"/>
      <c r="N13" s="36"/>
      <c r="O13" s="37"/>
      <c r="P13" s="37"/>
      <c r="Q13" s="37"/>
      <c r="R13" s="37"/>
      <c r="S13" s="37"/>
      <c r="T13" s="37"/>
      <c r="U13" s="37"/>
      <c r="V13" s="37"/>
      <c r="W13" s="36"/>
      <c r="X13" s="36"/>
      <c r="Y13" s="25"/>
      <c r="Z13" s="24"/>
      <c r="AA13" s="12"/>
      <c r="AC13">
        <v>10</v>
      </c>
      <c r="AD13">
        <v>1</v>
      </c>
      <c r="AE13">
        <v>0</v>
      </c>
      <c r="AF13">
        <v>0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1</v>
      </c>
      <c r="AM13">
        <v>0</v>
      </c>
    </row>
    <row r="14" spans="1:39" ht="15" customHeight="1" x14ac:dyDescent="0.3">
      <c r="A14" s="10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46" t="str">
        <f>IF(AA15,"HAI VINTO!",IF(Y2,"HAI PERSO",IF(V34,"SIGNORE PERCHE' NON HA SCHIERATO LA FLOTTA?",IF(X34,"Lei è inadeguato al compito.",IF(X33,"BASTA SIGNORE!",IF(X32,"Mi arrendo...",IF(AB34,"SIGNORE SCHIERI LA FLOTTA PRIMA DI SPARARE",IF(AC34,"SIGNORE DIGITI LE COORDINATE PRIMA DI SPARARE!",IF(S36,"FLOTTA PRONTA ALLO SCHIERAMENTO SIGNORE!","FLOTTA SCHIERATA! IN GIOCO!")))))))))</f>
        <v>FLOTTA PRONTA ALLO SCHIERAMENTO SIGNORE!</v>
      </c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25"/>
      <c r="Z14" s="24"/>
      <c r="AA14" s="11"/>
    </row>
    <row r="15" spans="1:39" ht="18.75" customHeight="1" thickBot="1" x14ac:dyDescent="0.35">
      <c r="A15" s="10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48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25"/>
      <c r="Z15" s="24"/>
      <c r="AA15" s="12" t="b">
        <f>AND(COUNTIF(N18:W27,1)&gt;0,COUNTIF(N18:W27,1)=T8)</f>
        <v>0</v>
      </c>
    </row>
    <row r="16" spans="1:39" ht="21.75" customHeight="1" thickBot="1" x14ac:dyDescent="0.35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5"/>
      <c r="P16" s="15"/>
      <c r="Q16" s="15"/>
      <c r="R16" s="15">
        <v>1</v>
      </c>
      <c r="S16" s="15">
        <v>0</v>
      </c>
      <c r="T16" s="15">
        <f>S16+R16</f>
        <v>1</v>
      </c>
      <c r="U16" s="15"/>
      <c r="V16" s="15"/>
      <c r="W16" s="14"/>
      <c r="X16" s="14"/>
      <c r="Y16" s="26"/>
      <c r="Z16" s="27"/>
      <c r="AA16" s="16"/>
    </row>
    <row r="17" spans="3:35" ht="1.5" hidden="1" customHeight="1" x14ac:dyDescent="0.3">
      <c r="C17" s="7" t="s">
        <v>10</v>
      </c>
      <c r="D17" s="3">
        <v>1</v>
      </c>
      <c r="E17" s="8">
        <f ca="1">RANDBETWEEN(1,10)</f>
        <v>10</v>
      </c>
      <c r="F17" s="8">
        <f ca="1">IF(E17&gt;8,1,0)</f>
        <v>1</v>
      </c>
      <c r="I17" t="b">
        <f>AND($N$12=D17)</f>
        <v>0</v>
      </c>
      <c r="J17">
        <f>IF(I17,H17+$T$12,H17+0)</f>
        <v>0</v>
      </c>
      <c r="O17" s="5"/>
      <c r="P17" s="5"/>
      <c r="Q17" s="5"/>
      <c r="R17" s="5"/>
      <c r="S17" s="5"/>
      <c r="T17" s="5"/>
      <c r="U17" s="5"/>
      <c r="V17" s="5"/>
    </row>
    <row r="18" spans="3:35" ht="25.5" hidden="1" customHeight="1" x14ac:dyDescent="0.3">
      <c r="C18" s="7" t="s">
        <v>20</v>
      </c>
      <c r="D18" s="3">
        <v>2</v>
      </c>
      <c r="E18" s="8">
        <f t="shared" ref="E18:E81" ca="1" si="0">RANDBETWEEN(1,10)</f>
        <v>6</v>
      </c>
      <c r="F18" s="8">
        <f t="shared" ref="F18:F81" ca="1" si="1">IF(E18&gt;8,1,0)</f>
        <v>0</v>
      </c>
      <c r="I18" t="b">
        <f t="shared" ref="I18:I48" si="2">AND($N$12=D18)</f>
        <v>0</v>
      </c>
      <c r="J18">
        <f t="shared" ref="J18:J81" si="3">IF(I18,H18+$T$12,H18+0)</f>
        <v>0</v>
      </c>
      <c r="N18" s="1">
        <f>$G17</f>
        <v>0</v>
      </c>
      <c r="O18" s="1">
        <f>$G27</f>
        <v>0</v>
      </c>
      <c r="P18" s="1">
        <f>$G37</f>
        <v>0</v>
      </c>
      <c r="Q18" s="1">
        <f>$G47</f>
        <v>0</v>
      </c>
      <c r="R18" s="1">
        <f>$G57</f>
        <v>0</v>
      </c>
      <c r="S18" s="1">
        <f>$G67</f>
        <v>0</v>
      </c>
      <c r="T18" s="1">
        <f>$G77</f>
        <v>0</v>
      </c>
      <c r="U18" s="1">
        <f>$G87</f>
        <v>0</v>
      </c>
      <c r="V18" s="1">
        <f>$G97</f>
        <v>0</v>
      </c>
      <c r="W18" s="1">
        <f t="shared" ref="W18:W27" si="4">$G107</f>
        <v>0</v>
      </c>
      <c r="Z18" t="s">
        <v>0</v>
      </c>
      <c r="AA18" t="s">
        <v>1</v>
      </c>
      <c r="AB18" t="s">
        <v>2</v>
      </c>
      <c r="AC18" t="s">
        <v>3</v>
      </c>
      <c r="AD18" t="s">
        <v>4</v>
      </c>
      <c r="AE18" t="s">
        <v>5</v>
      </c>
      <c r="AF18" t="s">
        <v>6</v>
      </c>
      <c r="AG18" t="s">
        <v>7</v>
      </c>
      <c r="AH18" t="s">
        <v>8</v>
      </c>
      <c r="AI18" t="s">
        <v>9</v>
      </c>
    </row>
    <row r="19" spans="3:35" ht="25.5" hidden="1" customHeight="1" x14ac:dyDescent="0.3">
      <c r="C19" s="7" t="s">
        <v>30</v>
      </c>
      <c r="D19" s="3">
        <v>3</v>
      </c>
      <c r="E19" s="8">
        <f t="shared" ca="1" si="0"/>
        <v>10</v>
      </c>
      <c r="F19" s="8">
        <f t="shared" ca="1" si="1"/>
        <v>1</v>
      </c>
      <c r="I19" t="b">
        <f t="shared" si="2"/>
        <v>0</v>
      </c>
      <c r="J19">
        <f t="shared" si="3"/>
        <v>0</v>
      </c>
      <c r="N19" s="1">
        <f t="shared" ref="N19:N27" si="5">$G18</f>
        <v>0</v>
      </c>
      <c r="O19" s="1">
        <f t="shared" ref="O19:O27" si="6">$G28</f>
        <v>0</v>
      </c>
      <c r="P19" s="1">
        <f t="shared" ref="P19:P27" si="7">$G38</f>
        <v>0</v>
      </c>
      <c r="Q19" s="1">
        <f t="shared" ref="Q19:Q27" si="8">$G48</f>
        <v>0</v>
      </c>
      <c r="R19" s="1">
        <f t="shared" ref="R19:R27" si="9">$G58</f>
        <v>0</v>
      </c>
      <c r="S19" s="1">
        <f t="shared" ref="S19:S27" si="10">$G68</f>
        <v>0</v>
      </c>
      <c r="T19" s="1">
        <f t="shared" ref="T19:T27" si="11">$G78</f>
        <v>0</v>
      </c>
      <c r="U19" s="1">
        <f t="shared" ref="U19:U27" si="12">$G88</f>
        <v>0</v>
      </c>
      <c r="V19" s="1">
        <f t="shared" ref="V19:V27" si="13">$G98</f>
        <v>0</v>
      </c>
      <c r="W19" s="1">
        <f t="shared" si="4"/>
        <v>0</v>
      </c>
      <c r="Y19">
        <v>1</v>
      </c>
      <c r="Z19" s="1">
        <f>$H17</f>
        <v>0</v>
      </c>
      <c r="AA19" s="1">
        <f>H27</f>
        <v>0</v>
      </c>
      <c r="AB19" s="35">
        <f>H37</f>
        <v>0</v>
      </c>
      <c r="AC19" s="1">
        <f>H47</f>
        <v>0</v>
      </c>
      <c r="AD19" s="1">
        <f>H57</f>
        <v>0</v>
      </c>
      <c r="AE19" s="1">
        <f>H67</f>
        <v>0</v>
      </c>
      <c r="AF19" s="1">
        <f>H77</f>
        <v>0</v>
      </c>
      <c r="AG19" s="1">
        <f>H87</f>
        <v>0</v>
      </c>
      <c r="AH19" s="1">
        <f>H97</f>
        <v>0</v>
      </c>
      <c r="AI19" s="1">
        <f>H107</f>
        <v>0</v>
      </c>
    </row>
    <row r="20" spans="3:35" ht="25.5" hidden="1" customHeight="1" x14ac:dyDescent="0.3">
      <c r="C20" s="7" t="s">
        <v>40</v>
      </c>
      <c r="D20" s="3">
        <v>4</v>
      </c>
      <c r="E20" s="8">
        <f t="shared" ca="1" si="0"/>
        <v>10</v>
      </c>
      <c r="F20" s="8">
        <f t="shared" ca="1" si="1"/>
        <v>1</v>
      </c>
      <c r="I20" t="b">
        <f t="shared" si="2"/>
        <v>0</v>
      </c>
      <c r="J20">
        <f t="shared" si="3"/>
        <v>0</v>
      </c>
      <c r="N20" s="1">
        <f t="shared" si="5"/>
        <v>0</v>
      </c>
      <c r="O20" s="1">
        <f t="shared" si="6"/>
        <v>0</v>
      </c>
      <c r="P20" s="1">
        <f t="shared" si="7"/>
        <v>0</v>
      </c>
      <c r="Q20" s="1">
        <f t="shared" si="8"/>
        <v>0</v>
      </c>
      <c r="R20" s="1">
        <f t="shared" si="9"/>
        <v>0</v>
      </c>
      <c r="S20" s="1">
        <f t="shared" si="10"/>
        <v>0</v>
      </c>
      <c r="T20" s="1">
        <f t="shared" si="11"/>
        <v>0</v>
      </c>
      <c r="U20" s="1">
        <f t="shared" si="12"/>
        <v>0</v>
      </c>
      <c r="V20" s="1">
        <f t="shared" si="13"/>
        <v>0</v>
      </c>
      <c r="W20" s="1">
        <f t="shared" si="4"/>
        <v>0</v>
      </c>
      <c r="Y20">
        <v>2</v>
      </c>
      <c r="Z20" s="1">
        <f>$H18</f>
        <v>0</v>
      </c>
      <c r="AA20" s="1">
        <f t="shared" ref="AA20:AA28" si="14">H28</f>
        <v>0</v>
      </c>
      <c r="AB20" s="35">
        <f t="shared" ref="AB20:AB28" si="15">H38</f>
        <v>0</v>
      </c>
      <c r="AC20" s="1">
        <f t="shared" ref="AC20:AC28" si="16">H48</f>
        <v>0</v>
      </c>
      <c r="AD20" s="1">
        <f t="shared" ref="AD20:AD28" si="17">H58</f>
        <v>0</v>
      </c>
      <c r="AE20" s="1">
        <f t="shared" ref="AE20:AE28" si="18">H68</f>
        <v>0</v>
      </c>
      <c r="AF20" s="1">
        <f t="shared" ref="AF20:AF28" si="19">H78</f>
        <v>0</v>
      </c>
      <c r="AG20" s="1">
        <f t="shared" ref="AG20:AG28" si="20">H88</f>
        <v>0</v>
      </c>
      <c r="AH20" s="1">
        <f t="shared" ref="AH20:AH28" si="21">H98</f>
        <v>0</v>
      </c>
      <c r="AI20" s="1">
        <f t="shared" ref="AI20:AI28" si="22">H108</f>
        <v>0</v>
      </c>
    </row>
    <row r="21" spans="3:35" ht="25.5" hidden="1" customHeight="1" x14ac:dyDescent="0.3">
      <c r="C21" s="7" t="s">
        <v>50</v>
      </c>
      <c r="D21" s="3">
        <v>5</v>
      </c>
      <c r="E21" s="8">
        <f t="shared" ca="1" si="0"/>
        <v>2</v>
      </c>
      <c r="F21" s="8">
        <f t="shared" ca="1" si="1"/>
        <v>0</v>
      </c>
      <c r="I21" t="b">
        <f t="shared" si="2"/>
        <v>0</v>
      </c>
      <c r="J21">
        <f>IF(I21,H21+$T$12,H21+0)</f>
        <v>0</v>
      </c>
      <c r="N21" s="1">
        <f t="shared" si="5"/>
        <v>0</v>
      </c>
      <c r="O21" s="1">
        <f t="shared" si="6"/>
        <v>0</v>
      </c>
      <c r="P21" s="1">
        <f t="shared" si="7"/>
        <v>0</v>
      </c>
      <c r="Q21" s="1">
        <f t="shared" si="8"/>
        <v>0</v>
      </c>
      <c r="R21" s="1">
        <f>$G60</f>
        <v>0</v>
      </c>
      <c r="S21" s="1">
        <f t="shared" si="10"/>
        <v>0</v>
      </c>
      <c r="T21" s="1">
        <f t="shared" si="11"/>
        <v>0</v>
      </c>
      <c r="U21" s="1">
        <f t="shared" si="12"/>
        <v>0</v>
      </c>
      <c r="V21" s="1">
        <f t="shared" si="13"/>
        <v>0</v>
      </c>
      <c r="W21" s="1">
        <f t="shared" si="4"/>
        <v>0</v>
      </c>
      <c r="Y21">
        <v>3</v>
      </c>
      <c r="Z21" s="1">
        <f>$H19</f>
        <v>0</v>
      </c>
      <c r="AA21" s="1">
        <f t="shared" si="14"/>
        <v>0</v>
      </c>
      <c r="AB21" s="35">
        <f t="shared" si="15"/>
        <v>0</v>
      </c>
      <c r="AC21" s="1">
        <f t="shared" si="16"/>
        <v>0</v>
      </c>
      <c r="AD21" s="1">
        <f t="shared" si="17"/>
        <v>0</v>
      </c>
      <c r="AE21" s="1">
        <f t="shared" si="18"/>
        <v>0</v>
      </c>
      <c r="AF21" s="1">
        <f t="shared" si="19"/>
        <v>0</v>
      </c>
      <c r="AG21" s="1">
        <f t="shared" si="20"/>
        <v>0</v>
      </c>
      <c r="AH21" s="1">
        <f t="shared" si="21"/>
        <v>0</v>
      </c>
      <c r="AI21" s="1">
        <f t="shared" si="22"/>
        <v>0</v>
      </c>
    </row>
    <row r="22" spans="3:35" ht="25.5" hidden="1" customHeight="1" x14ac:dyDescent="0.3">
      <c r="C22" s="7" t="s">
        <v>60</v>
      </c>
      <c r="D22" s="3">
        <v>6</v>
      </c>
      <c r="E22" s="8">
        <f t="shared" ca="1" si="0"/>
        <v>9</v>
      </c>
      <c r="F22" s="8">
        <f t="shared" ca="1" si="1"/>
        <v>1</v>
      </c>
      <c r="I22" t="b">
        <f t="shared" si="2"/>
        <v>0</v>
      </c>
      <c r="J22">
        <f t="shared" si="3"/>
        <v>0</v>
      </c>
      <c r="N22" s="1">
        <f t="shared" si="5"/>
        <v>0</v>
      </c>
      <c r="O22" s="1">
        <f t="shared" si="6"/>
        <v>0</v>
      </c>
      <c r="P22" s="1">
        <f t="shared" si="7"/>
        <v>0</v>
      </c>
      <c r="Q22" s="1">
        <f t="shared" si="8"/>
        <v>0</v>
      </c>
      <c r="R22" s="1">
        <f t="shared" si="9"/>
        <v>0</v>
      </c>
      <c r="S22" s="1">
        <f t="shared" si="10"/>
        <v>0</v>
      </c>
      <c r="T22" s="1">
        <f t="shared" si="11"/>
        <v>0</v>
      </c>
      <c r="U22" s="1">
        <f t="shared" si="12"/>
        <v>0</v>
      </c>
      <c r="V22" s="1">
        <f t="shared" si="13"/>
        <v>0</v>
      </c>
      <c r="W22" s="1">
        <f t="shared" si="4"/>
        <v>0</v>
      </c>
      <c r="Y22">
        <v>4</v>
      </c>
      <c r="Z22" s="1">
        <f t="shared" ref="Z22:Z28" si="23">$H20</f>
        <v>0</v>
      </c>
      <c r="AA22" s="1">
        <f t="shared" si="14"/>
        <v>0</v>
      </c>
      <c r="AB22" s="35">
        <f t="shared" si="15"/>
        <v>0</v>
      </c>
      <c r="AC22" s="1">
        <f t="shared" si="16"/>
        <v>0</v>
      </c>
      <c r="AD22" s="1">
        <f t="shared" si="17"/>
        <v>0</v>
      </c>
      <c r="AE22" s="1">
        <f t="shared" si="18"/>
        <v>0</v>
      </c>
      <c r="AF22" s="1">
        <f t="shared" si="19"/>
        <v>0</v>
      </c>
      <c r="AG22" s="1">
        <f t="shared" si="20"/>
        <v>0</v>
      </c>
      <c r="AH22" s="1">
        <f t="shared" si="21"/>
        <v>0</v>
      </c>
      <c r="AI22" s="1">
        <f t="shared" si="22"/>
        <v>0</v>
      </c>
    </row>
    <row r="23" spans="3:35" ht="25.5" hidden="1" customHeight="1" x14ac:dyDescent="0.3">
      <c r="C23" s="7" t="s">
        <v>70</v>
      </c>
      <c r="D23" s="3">
        <v>7</v>
      </c>
      <c r="E23" s="8">
        <f t="shared" ca="1" si="0"/>
        <v>9</v>
      </c>
      <c r="F23" s="8">
        <f t="shared" ca="1" si="1"/>
        <v>1</v>
      </c>
      <c r="I23" t="b">
        <f t="shared" si="2"/>
        <v>0</v>
      </c>
      <c r="J23">
        <f t="shared" si="3"/>
        <v>0</v>
      </c>
      <c r="N23" s="1">
        <f t="shared" si="5"/>
        <v>0</v>
      </c>
      <c r="O23" s="1">
        <f t="shared" si="6"/>
        <v>0</v>
      </c>
      <c r="P23" s="1">
        <f t="shared" si="7"/>
        <v>0</v>
      </c>
      <c r="Q23" s="1">
        <f t="shared" si="8"/>
        <v>0</v>
      </c>
      <c r="R23" s="1">
        <f t="shared" si="9"/>
        <v>0</v>
      </c>
      <c r="S23" s="1">
        <f t="shared" si="10"/>
        <v>0</v>
      </c>
      <c r="T23" s="1">
        <f t="shared" si="11"/>
        <v>0</v>
      </c>
      <c r="U23" s="1">
        <f t="shared" si="12"/>
        <v>0</v>
      </c>
      <c r="V23" s="1">
        <f t="shared" si="13"/>
        <v>0</v>
      </c>
      <c r="W23" s="1">
        <f t="shared" si="4"/>
        <v>0</v>
      </c>
      <c r="Y23">
        <v>5</v>
      </c>
      <c r="Z23" s="1">
        <f t="shared" si="23"/>
        <v>0</v>
      </c>
      <c r="AA23" s="1">
        <f t="shared" si="14"/>
        <v>0</v>
      </c>
      <c r="AB23" s="35">
        <f t="shared" si="15"/>
        <v>0</v>
      </c>
      <c r="AC23" s="1">
        <f t="shared" si="16"/>
        <v>0</v>
      </c>
      <c r="AD23" s="1">
        <f t="shared" si="17"/>
        <v>0</v>
      </c>
      <c r="AE23" s="1">
        <f t="shared" si="18"/>
        <v>0</v>
      </c>
      <c r="AF23" s="1">
        <f t="shared" si="19"/>
        <v>0</v>
      </c>
      <c r="AG23" s="1">
        <f t="shared" si="20"/>
        <v>0</v>
      </c>
      <c r="AH23" s="1">
        <f t="shared" si="21"/>
        <v>0</v>
      </c>
      <c r="AI23" s="1">
        <f t="shared" si="22"/>
        <v>0</v>
      </c>
    </row>
    <row r="24" spans="3:35" ht="1.5" hidden="1" customHeight="1" x14ac:dyDescent="0.3">
      <c r="C24" s="7" t="s">
        <v>80</v>
      </c>
      <c r="D24" s="3">
        <v>8</v>
      </c>
      <c r="E24" s="8">
        <f t="shared" ca="1" si="0"/>
        <v>6</v>
      </c>
      <c r="F24" s="8">
        <f t="shared" ca="1" si="1"/>
        <v>0</v>
      </c>
      <c r="I24" t="b">
        <f t="shared" si="2"/>
        <v>0</v>
      </c>
      <c r="J24">
        <f t="shared" si="3"/>
        <v>0</v>
      </c>
      <c r="N24" s="1">
        <f t="shared" si="5"/>
        <v>0</v>
      </c>
      <c r="O24" s="1">
        <f t="shared" si="6"/>
        <v>0</v>
      </c>
      <c r="P24" s="1">
        <f t="shared" si="7"/>
        <v>0</v>
      </c>
      <c r="Q24" s="1">
        <f t="shared" si="8"/>
        <v>0</v>
      </c>
      <c r="R24" s="1">
        <f t="shared" si="9"/>
        <v>0</v>
      </c>
      <c r="S24" s="1">
        <f t="shared" si="10"/>
        <v>0</v>
      </c>
      <c r="T24" s="1">
        <f t="shared" si="11"/>
        <v>0</v>
      </c>
      <c r="U24" s="1">
        <f t="shared" si="12"/>
        <v>0</v>
      </c>
      <c r="V24" s="1">
        <f t="shared" si="13"/>
        <v>0</v>
      </c>
      <c r="W24" s="1">
        <f t="shared" si="4"/>
        <v>0</v>
      </c>
      <c r="Y24">
        <v>6</v>
      </c>
      <c r="Z24" s="1">
        <f t="shared" si="23"/>
        <v>0</v>
      </c>
      <c r="AA24" s="1">
        <f t="shared" si="14"/>
        <v>0</v>
      </c>
      <c r="AB24" s="35">
        <f t="shared" si="15"/>
        <v>0</v>
      </c>
      <c r="AC24" s="1">
        <f t="shared" si="16"/>
        <v>0</v>
      </c>
      <c r="AD24" s="1">
        <f t="shared" si="17"/>
        <v>0</v>
      </c>
      <c r="AE24" s="1">
        <f t="shared" si="18"/>
        <v>0</v>
      </c>
      <c r="AF24" s="1">
        <f t="shared" si="19"/>
        <v>0</v>
      </c>
      <c r="AG24" s="1">
        <f t="shared" si="20"/>
        <v>0</v>
      </c>
      <c r="AH24" s="1">
        <f t="shared" si="21"/>
        <v>0</v>
      </c>
      <c r="AI24" s="1">
        <f t="shared" si="22"/>
        <v>0</v>
      </c>
    </row>
    <row r="25" spans="3:35" ht="25.5" hidden="1" customHeight="1" x14ac:dyDescent="0.3">
      <c r="C25" s="7" t="s">
        <v>90</v>
      </c>
      <c r="D25" s="3">
        <v>9</v>
      </c>
      <c r="E25" s="8">
        <f t="shared" ca="1" si="0"/>
        <v>3</v>
      </c>
      <c r="F25" s="8">
        <f t="shared" ca="1" si="1"/>
        <v>0</v>
      </c>
      <c r="I25" t="b">
        <f t="shared" si="2"/>
        <v>0</v>
      </c>
      <c r="J25">
        <f t="shared" si="3"/>
        <v>0</v>
      </c>
      <c r="N25" s="1">
        <f t="shared" si="5"/>
        <v>0</v>
      </c>
      <c r="O25" s="1">
        <f t="shared" si="6"/>
        <v>0</v>
      </c>
      <c r="P25" s="1">
        <f t="shared" si="7"/>
        <v>0</v>
      </c>
      <c r="Q25" s="1">
        <f t="shared" si="8"/>
        <v>0</v>
      </c>
      <c r="R25" s="1">
        <f t="shared" si="9"/>
        <v>0</v>
      </c>
      <c r="S25" s="1">
        <f t="shared" si="10"/>
        <v>0</v>
      </c>
      <c r="T25" s="1">
        <f t="shared" si="11"/>
        <v>0</v>
      </c>
      <c r="U25" s="1">
        <f t="shared" si="12"/>
        <v>0</v>
      </c>
      <c r="V25" s="1">
        <f t="shared" si="13"/>
        <v>0</v>
      </c>
      <c r="W25" s="1">
        <f t="shared" si="4"/>
        <v>0</v>
      </c>
      <c r="Y25">
        <v>7</v>
      </c>
      <c r="Z25" s="1">
        <f t="shared" si="23"/>
        <v>0</v>
      </c>
      <c r="AA25" s="1">
        <f t="shared" si="14"/>
        <v>0</v>
      </c>
      <c r="AB25" s="35">
        <f t="shared" si="15"/>
        <v>0</v>
      </c>
      <c r="AC25" s="1">
        <f t="shared" si="16"/>
        <v>0</v>
      </c>
      <c r="AD25" s="1">
        <f t="shared" si="17"/>
        <v>0</v>
      </c>
      <c r="AE25" s="1">
        <f t="shared" si="18"/>
        <v>0</v>
      </c>
      <c r="AF25" s="1">
        <f t="shared" si="19"/>
        <v>0</v>
      </c>
      <c r="AG25" s="1">
        <f t="shared" si="20"/>
        <v>0</v>
      </c>
      <c r="AH25" s="1">
        <f t="shared" si="21"/>
        <v>0</v>
      </c>
      <c r="AI25" s="1">
        <f t="shared" si="22"/>
        <v>0</v>
      </c>
    </row>
    <row r="26" spans="3:35" ht="25.5" hidden="1" customHeight="1" x14ac:dyDescent="0.3">
      <c r="C26" s="7" t="s">
        <v>100</v>
      </c>
      <c r="D26" s="3">
        <v>10</v>
      </c>
      <c r="E26" s="8">
        <f t="shared" ca="1" si="0"/>
        <v>10</v>
      </c>
      <c r="F26" s="8">
        <f t="shared" ca="1" si="1"/>
        <v>1</v>
      </c>
      <c r="I26" t="b">
        <f t="shared" si="2"/>
        <v>0</v>
      </c>
      <c r="J26">
        <f t="shared" si="3"/>
        <v>0</v>
      </c>
      <c r="N26" s="1">
        <f t="shared" si="5"/>
        <v>0</v>
      </c>
      <c r="O26" s="1">
        <f t="shared" si="6"/>
        <v>0</v>
      </c>
      <c r="P26" s="1">
        <f t="shared" si="7"/>
        <v>0</v>
      </c>
      <c r="Q26" s="1">
        <f t="shared" si="8"/>
        <v>0</v>
      </c>
      <c r="R26" s="1">
        <f t="shared" si="9"/>
        <v>0</v>
      </c>
      <c r="S26" s="1">
        <f t="shared" si="10"/>
        <v>0</v>
      </c>
      <c r="T26" s="1">
        <f t="shared" si="11"/>
        <v>0</v>
      </c>
      <c r="U26" s="1">
        <f t="shared" si="12"/>
        <v>0</v>
      </c>
      <c r="V26" s="1">
        <f t="shared" si="13"/>
        <v>0</v>
      </c>
      <c r="W26" s="1">
        <f>$G115</f>
        <v>0</v>
      </c>
      <c r="Y26">
        <v>8</v>
      </c>
      <c r="Z26" s="1">
        <f t="shared" si="23"/>
        <v>0</v>
      </c>
      <c r="AA26" s="1">
        <f t="shared" si="14"/>
        <v>0</v>
      </c>
      <c r="AB26" s="35">
        <f t="shared" si="15"/>
        <v>0</v>
      </c>
      <c r="AC26" s="1">
        <f t="shared" si="16"/>
        <v>0</v>
      </c>
      <c r="AD26" s="1">
        <f t="shared" si="17"/>
        <v>0</v>
      </c>
      <c r="AE26" s="1">
        <f t="shared" si="18"/>
        <v>0</v>
      </c>
      <c r="AF26" s="1">
        <f t="shared" si="19"/>
        <v>0</v>
      </c>
      <c r="AG26" s="1">
        <f t="shared" si="20"/>
        <v>0</v>
      </c>
      <c r="AH26" s="1">
        <f t="shared" si="21"/>
        <v>0</v>
      </c>
      <c r="AI26" s="1">
        <f t="shared" si="22"/>
        <v>0</v>
      </c>
    </row>
    <row r="27" spans="3:35" ht="25.5" hidden="1" customHeight="1" x14ac:dyDescent="0.3">
      <c r="C27" s="7" t="s">
        <v>11</v>
      </c>
      <c r="D27" s="3">
        <v>11</v>
      </c>
      <c r="E27" s="8">
        <f t="shared" ca="1" si="0"/>
        <v>1</v>
      </c>
      <c r="F27" s="8">
        <f t="shared" ca="1" si="1"/>
        <v>0</v>
      </c>
      <c r="I27" t="b">
        <f t="shared" si="2"/>
        <v>0</v>
      </c>
      <c r="J27">
        <f>IF(I27,H27+$T$12,H27+0)</f>
        <v>0</v>
      </c>
      <c r="N27" s="1">
        <f t="shared" si="5"/>
        <v>0</v>
      </c>
      <c r="O27" s="1">
        <f t="shared" si="6"/>
        <v>0</v>
      </c>
      <c r="P27" s="1">
        <f t="shared" si="7"/>
        <v>0</v>
      </c>
      <c r="Q27" s="1">
        <f t="shared" si="8"/>
        <v>0</v>
      </c>
      <c r="R27" s="1">
        <f t="shared" si="9"/>
        <v>0</v>
      </c>
      <c r="S27" s="1">
        <f t="shared" si="10"/>
        <v>0</v>
      </c>
      <c r="T27" s="1">
        <f t="shared" si="11"/>
        <v>0</v>
      </c>
      <c r="U27" s="1">
        <f t="shared" si="12"/>
        <v>0</v>
      </c>
      <c r="V27" s="1">
        <f t="shared" si="13"/>
        <v>0</v>
      </c>
      <c r="W27" s="1">
        <f t="shared" si="4"/>
        <v>0</v>
      </c>
      <c r="Y27">
        <v>9</v>
      </c>
      <c r="Z27" s="1">
        <f t="shared" si="23"/>
        <v>0</v>
      </c>
      <c r="AA27" s="1">
        <f t="shared" si="14"/>
        <v>0</v>
      </c>
      <c r="AB27" s="35">
        <f t="shared" si="15"/>
        <v>0</v>
      </c>
      <c r="AC27" s="1">
        <f t="shared" si="16"/>
        <v>0</v>
      </c>
      <c r="AD27" s="1">
        <f t="shared" si="17"/>
        <v>0</v>
      </c>
      <c r="AE27" s="1">
        <f t="shared" si="18"/>
        <v>0</v>
      </c>
      <c r="AF27" s="1">
        <f t="shared" si="19"/>
        <v>0</v>
      </c>
      <c r="AG27" s="1">
        <f t="shared" si="20"/>
        <v>0</v>
      </c>
      <c r="AH27" s="1">
        <f t="shared" si="21"/>
        <v>0</v>
      </c>
      <c r="AI27" s="1">
        <f t="shared" si="22"/>
        <v>0</v>
      </c>
    </row>
    <row r="28" spans="3:35" ht="25.5" hidden="1" customHeight="1" x14ac:dyDescent="0.3">
      <c r="C28" s="7" t="s">
        <v>21</v>
      </c>
      <c r="D28" s="3">
        <v>12</v>
      </c>
      <c r="E28" s="8">
        <f t="shared" ca="1" si="0"/>
        <v>7</v>
      </c>
      <c r="F28" s="8">
        <f t="shared" ca="1" si="1"/>
        <v>0</v>
      </c>
      <c r="I28" t="b">
        <f t="shared" si="2"/>
        <v>0</v>
      </c>
      <c r="J28">
        <f t="shared" si="3"/>
        <v>0</v>
      </c>
      <c r="O28" s="5"/>
      <c r="P28" s="5"/>
      <c r="Q28" s="5"/>
      <c r="R28" s="5"/>
      <c r="S28" s="5"/>
      <c r="T28" s="5"/>
      <c r="U28" s="5"/>
      <c r="V28" s="5"/>
      <c r="Y28">
        <v>10</v>
      </c>
      <c r="Z28" s="1">
        <f t="shared" si="23"/>
        <v>0</v>
      </c>
      <c r="AA28" s="1">
        <f t="shared" si="14"/>
        <v>0</v>
      </c>
      <c r="AB28" s="35">
        <f t="shared" si="15"/>
        <v>0</v>
      </c>
      <c r="AC28" s="1">
        <f t="shared" si="16"/>
        <v>0</v>
      </c>
      <c r="AD28" s="1">
        <f t="shared" si="17"/>
        <v>0</v>
      </c>
      <c r="AE28" s="1">
        <f t="shared" si="18"/>
        <v>0</v>
      </c>
      <c r="AF28" s="1">
        <f t="shared" si="19"/>
        <v>0</v>
      </c>
      <c r="AG28" s="1">
        <f t="shared" si="20"/>
        <v>0</v>
      </c>
      <c r="AH28" s="1">
        <f t="shared" si="21"/>
        <v>0</v>
      </c>
      <c r="AI28" s="1">
        <f t="shared" si="22"/>
        <v>0</v>
      </c>
    </row>
    <row r="29" spans="3:35" ht="25.5" hidden="1" customHeight="1" x14ac:dyDescent="0.3">
      <c r="C29" s="7" t="s">
        <v>31</v>
      </c>
      <c r="D29" s="3">
        <v>13</v>
      </c>
      <c r="E29" s="8">
        <f t="shared" ca="1" si="0"/>
        <v>5</v>
      </c>
      <c r="F29" s="8">
        <f t="shared" ca="1" si="1"/>
        <v>0</v>
      </c>
      <c r="I29" t="b">
        <f t="shared" si="2"/>
        <v>0</v>
      </c>
      <c r="J29">
        <f t="shared" si="3"/>
        <v>0</v>
      </c>
      <c r="O29" s="5"/>
      <c r="P29" s="5"/>
      <c r="Q29" s="5"/>
      <c r="R29" s="5"/>
      <c r="S29" s="5"/>
      <c r="T29" s="5"/>
      <c r="U29" s="5"/>
      <c r="V29" s="5"/>
    </row>
    <row r="30" spans="3:35" ht="25.5" hidden="1" customHeight="1" x14ac:dyDescent="0.3">
      <c r="C30" s="7" t="s">
        <v>41</v>
      </c>
      <c r="D30" s="3">
        <v>14</v>
      </c>
      <c r="E30" s="8">
        <f t="shared" ca="1" si="0"/>
        <v>4</v>
      </c>
      <c r="F30" s="8">
        <f t="shared" ca="1" si="1"/>
        <v>0</v>
      </c>
      <c r="I30" t="b">
        <f t="shared" si="2"/>
        <v>0</v>
      </c>
      <c r="J30">
        <f t="shared" si="3"/>
        <v>0</v>
      </c>
      <c r="O30" s="5"/>
      <c r="P30" s="5"/>
      <c r="Q30" s="5"/>
      <c r="R30" s="5"/>
      <c r="S30" s="5"/>
      <c r="T30" s="5"/>
      <c r="U30" s="5"/>
      <c r="V30" s="5"/>
    </row>
    <row r="31" spans="3:35" ht="25.5" hidden="1" customHeight="1" x14ac:dyDescent="0.3">
      <c r="C31" s="7" t="s">
        <v>51</v>
      </c>
      <c r="D31" s="3">
        <v>15</v>
      </c>
      <c r="E31" s="8">
        <f t="shared" ca="1" si="0"/>
        <v>5</v>
      </c>
      <c r="F31" s="8">
        <f t="shared" ca="1" si="1"/>
        <v>0</v>
      </c>
      <c r="I31" t="b">
        <f t="shared" si="2"/>
        <v>0</v>
      </c>
      <c r="J31">
        <f t="shared" si="3"/>
        <v>0</v>
      </c>
      <c r="O31" s="6">
        <f>IFERROR(IF(R12,1,0),0)</f>
        <v>0</v>
      </c>
      <c r="P31" s="6"/>
      <c r="Q31" s="6"/>
      <c r="R31" s="6"/>
      <c r="S31" s="6"/>
      <c r="T31" s="5"/>
      <c r="U31" s="5"/>
      <c r="V31" s="5"/>
      <c r="X31" t="b">
        <f>AND(ISERROR(R12),W4&gt;0,W4&lt;21)</f>
        <v>0</v>
      </c>
      <c r="AB31" t="b">
        <f>AND(N12=0)</f>
        <v>1</v>
      </c>
    </row>
    <row r="32" spans="3:35" ht="25.5" hidden="1" customHeight="1" x14ac:dyDescent="0.3">
      <c r="C32" s="7" t="s">
        <v>61</v>
      </c>
      <c r="D32" s="3">
        <v>16</v>
      </c>
      <c r="E32" s="8">
        <f t="shared" ca="1" si="0"/>
        <v>5</v>
      </c>
      <c r="F32" s="8">
        <f t="shared" ca="1" si="1"/>
        <v>0</v>
      </c>
      <c r="I32" t="b">
        <f t="shared" si="2"/>
        <v>0</v>
      </c>
      <c r="J32">
        <f t="shared" si="3"/>
        <v>0</v>
      </c>
      <c r="O32" s="6" t="s">
        <v>118</v>
      </c>
      <c r="P32" s="6"/>
      <c r="Q32" s="6"/>
      <c r="R32" s="6">
        <v>0</v>
      </c>
      <c r="S32" s="6">
        <f>R32+O31</f>
        <v>0</v>
      </c>
      <c r="T32" s="5"/>
      <c r="U32" s="5"/>
      <c r="V32" s="5"/>
      <c r="X32" t="b">
        <f>AND(ISERROR(R12),W4&gt;30)</f>
        <v>0</v>
      </c>
    </row>
    <row r="33" spans="3:29" ht="25.5" hidden="1" customHeight="1" x14ac:dyDescent="0.3">
      <c r="C33" s="7" t="s">
        <v>71</v>
      </c>
      <c r="D33" s="3">
        <v>17</v>
      </c>
      <c r="E33" s="8">
        <f t="shared" ca="1" si="0"/>
        <v>2</v>
      </c>
      <c r="F33" s="8">
        <f t="shared" ca="1" si="1"/>
        <v>0</v>
      </c>
      <c r="I33" t="b">
        <f t="shared" si="2"/>
        <v>0</v>
      </c>
      <c r="J33">
        <f t="shared" si="3"/>
        <v>0</v>
      </c>
      <c r="O33" s="5"/>
      <c r="P33" s="5"/>
      <c r="Q33" s="5"/>
      <c r="R33" s="5"/>
      <c r="S33" s="5"/>
      <c r="T33" s="5"/>
      <c r="U33" s="5"/>
      <c r="V33" s="5"/>
      <c r="X33" t="b">
        <f>AND(ISERROR(R12),W4&gt;20,W4&lt;31)</f>
        <v>0</v>
      </c>
    </row>
    <row r="34" spans="3:29" ht="25.5" hidden="1" customHeight="1" x14ac:dyDescent="0.3">
      <c r="C34" s="7" t="s">
        <v>81</v>
      </c>
      <c r="D34" s="3">
        <v>18</v>
      </c>
      <c r="E34" s="8">
        <f t="shared" ca="1" si="0"/>
        <v>1</v>
      </c>
      <c r="F34" s="8">
        <f t="shared" ca="1" si="1"/>
        <v>0</v>
      </c>
      <c r="I34" t="b">
        <f t="shared" si="2"/>
        <v>0</v>
      </c>
      <c r="J34">
        <f>IF(I34,H34+$T$12,H34+0)</f>
        <v>0</v>
      </c>
      <c r="O34" s="5"/>
      <c r="P34" s="5"/>
      <c r="Q34" s="5"/>
      <c r="R34" s="5"/>
      <c r="S34" s="5"/>
      <c r="T34" s="5"/>
      <c r="U34" s="5"/>
      <c r="V34" t="b">
        <f>AND(W4&gt;30,W34=TRUE)</f>
        <v>0</v>
      </c>
      <c r="W34" t="b">
        <f>AND(COUNTIF(G17:G117,0)=0)</f>
        <v>1</v>
      </c>
      <c r="X34" t="b">
        <f>AND(ISERROR(R12),W4&gt;35,W4&lt;51)</f>
        <v>0</v>
      </c>
      <c r="AB34" t="b">
        <f>AND(W34=TRUE,W4&gt;0)</f>
        <v>0</v>
      </c>
      <c r="AC34" t="b">
        <f>AND(OR(X31=TRUE,X32=TRUE,X33=TRUE,X34=TRUE),W4&gt;0,W34=FALSE)</f>
        <v>0</v>
      </c>
    </row>
    <row r="35" spans="3:29" ht="25.5" hidden="1" customHeight="1" x14ac:dyDescent="0.3">
      <c r="C35" s="7" t="s">
        <v>91</v>
      </c>
      <c r="D35" s="3">
        <v>19</v>
      </c>
      <c r="E35" s="8">
        <f t="shared" ca="1" si="0"/>
        <v>10</v>
      </c>
      <c r="F35" s="8">
        <f t="shared" ca="1" si="1"/>
        <v>1</v>
      </c>
      <c r="I35" t="b">
        <f t="shared" si="2"/>
        <v>0</v>
      </c>
      <c r="J35">
        <f t="shared" si="3"/>
        <v>0</v>
      </c>
      <c r="O35" s="5"/>
      <c r="P35" s="5"/>
      <c r="Q35" s="5"/>
      <c r="R35" s="5"/>
      <c r="S35" s="5"/>
      <c r="T35" s="5"/>
      <c r="U35" s="5"/>
      <c r="V35" s="5"/>
    </row>
    <row r="36" spans="3:29" ht="2.25" hidden="1" customHeight="1" x14ac:dyDescent="0.3">
      <c r="C36" s="7" t="s">
        <v>101</v>
      </c>
      <c r="D36" s="3">
        <v>20</v>
      </c>
      <c r="E36" s="8">
        <f t="shared" ca="1" si="0"/>
        <v>10</v>
      </c>
      <c r="F36" s="8">
        <f t="shared" ca="1" si="1"/>
        <v>1</v>
      </c>
      <c r="I36" t="b">
        <f t="shared" si="2"/>
        <v>0</v>
      </c>
      <c r="J36">
        <f t="shared" si="3"/>
        <v>0</v>
      </c>
      <c r="O36" s="5"/>
      <c r="P36" s="5"/>
      <c r="Q36" s="5"/>
      <c r="R36" s="5"/>
      <c r="S36" s="5" t="b">
        <f>AND(P8=0)</f>
        <v>1</v>
      </c>
      <c r="T36" s="5"/>
      <c r="U36" s="5"/>
      <c r="V36" s="5"/>
    </row>
    <row r="37" spans="3:29" ht="25.5" hidden="1" customHeight="1" x14ac:dyDescent="0.3">
      <c r="C37" s="7" t="s">
        <v>12</v>
      </c>
      <c r="D37" s="3">
        <v>21</v>
      </c>
      <c r="E37" s="8">
        <f t="shared" ca="1" si="0"/>
        <v>10</v>
      </c>
      <c r="F37" s="8">
        <f t="shared" ca="1" si="1"/>
        <v>1</v>
      </c>
      <c r="I37" t="b">
        <f t="shared" si="2"/>
        <v>0</v>
      </c>
      <c r="J37">
        <f>IF(I37,H37+$T$12,H37+0)</f>
        <v>0</v>
      </c>
      <c r="O37" s="5"/>
      <c r="P37" s="5"/>
      <c r="Q37" s="5"/>
      <c r="R37" s="5"/>
      <c r="S37" s="5" t="b">
        <f>AND(P8&gt;0)</f>
        <v>0</v>
      </c>
      <c r="T37" s="5"/>
      <c r="U37" s="5"/>
      <c r="V37" s="5"/>
    </row>
    <row r="38" spans="3:29" ht="25.5" hidden="1" customHeight="1" x14ac:dyDescent="0.3">
      <c r="C38" s="7" t="s">
        <v>22</v>
      </c>
      <c r="D38" s="3">
        <v>22</v>
      </c>
      <c r="E38" s="8">
        <f t="shared" ca="1" si="0"/>
        <v>10</v>
      </c>
      <c r="F38" s="8">
        <f t="shared" ca="1" si="1"/>
        <v>1</v>
      </c>
      <c r="I38" t="b">
        <f t="shared" si="2"/>
        <v>0</v>
      </c>
      <c r="J38">
        <f t="shared" si="3"/>
        <v>0</v>
      </c>
      <c r="O38" s="5"/>
      <c r="P38" s="5"/>
      <c r="Q38" s="5"/>
      <c r="R38" s="5"/>
      <c r="S38" s="5"/>
      <c r="T38" s="5"/>
      <c r="U38" s="5"/>
      <c r="V38" s="5"/>
    </row>
    <row r="39" spans="3:29" ht="25.5" hidden="1" customHeight="1" x14ac:dyDescent="0.3">
      <c r="C39" s="7" t="s">
        <v>32</v>
      </c>
      <c r="D39" s="3">
        <v>23</v>
      </c>
      <c r="E39" s="8">
        <f t="shared" ca="1" si="0"/>
        <v>9</v>
      </c>
      <c r="F39" s="8">
        <f t="shared" ca="1" si="1"/>
        <v>1</v>
      </c>
      <c r="I39" t="b">
        <f t="shared" si="2"/>
        <v>0</v>
      </c>
      <c r="J39">
        <f t="shared" si="3"/>
        <v>0</v>
      </c>
      <c r="O39" s="5"/>
      <c r="P39" s="5"/>
      <c r="Q39" s="5"/>
      <c r="R39" s="5"/>
      <c r="S39" s="5"/>
      <c r="T39" s="5"/>
      <c r="U39" s="5"/>
      <c r="V39" s="5"/>
    </row>
    <row r="40" spans="3:29" ht="25.5" hidden="1" customHeight="1" x14ac:dyDescent="0.3">
      <c r="C40" s="7" t="s">
        <v>42</v>
      </c>
      <c r="D40" s="3">
        <v>24</v>
      </c>
      <c r="E40" s="8">
        <f t="shared" ca="1" si="0"/>
        <v>4</v>
      </c>
      <c r="F40" s="8">
        <f t="shared" ca="1" si="1"/>
        <v>0</v>
      </c>
      <c r="I40" t="b">
        <f t="shared" si="2"/>
        <v>0</v>
      </c>
      <c r="J40">
        <f t="shared" si="3"/>
        <v>0</v>
      </c>
      <c r="N40" s="5"/>
      <c r="O40" s="5"/>
      <c r="P40" s="5"/>
      <c r="Q40" s="5"/>
      <c r="R40" s="5"/>
      <c r="S40" s="5"/>
      <c r="T40" s="5"/>
      <c r="U40" s="5"/>
    </row>
    <row r="41" spans="3:29" ht="25.5" hidden="1" customHeight="1" x14ac:dyDescent="0.3">
      <c r="C41" s="7" t="s">
        <v>52</v>
      </c>
      <c r="D41" s="3">
        <v>25</v>
      </c>
      <c r="E41" s="8">
        <f t="shared" ca="1" si="0"/>
        <v>2</v>
      </c>
      <c r="F41" s="8">
        <f t="shared" ca="1" si="1"/>
        <v>0</v>
      </c>
      <c r="I41" t="b">
        <f t="shared" si="2"/>
        <v>0</v>
      </c>
      <c r="J41">
        <f t="shared" si="3"/>
        <v>0</v>
      </c>
      <c r="N41" s="5"/>
      <c r="O41" s="5"/>
      <c r="P41" s="5"/>
      <c r="Q41" s="5"/>
      <c r="R41" s="5"/>
      <c r="S41" s="5"/>
      <c r="T41" s="5"/>
      <c r="U41" s="5"/>
    </row>
    <row r="42" spans="3:29" ht="25.5" hidden="1" customHeight="1" x14ac:dyDescent="0.3">
      <c r="C42" s="7" t="s">
        <v>62</v>
      </c>
      <c r="D42" s="3">
        <v>26</v>
      </c>
      <c r="E42" s="8">
        <f t="shared" ca="1" si="0"/>
        <v>9</v>
      </c>
      <c r="F42" s="8">
        <f t="shared" ca="1" si="1"/>
        <v>1</v>
      </c>
      <c r="I42" t="b">
        <f t="shared" si="2"/>
        <v>0</v>
      </c>
      <c r="J42">
        <f t="shared" si="3"/>
        <v>0</v>
      </c>
      <c r="N42" s="5"/>
      <c r="O42" s="5"/>
      <c r="P42" s="5"/>
      <c r="Q42" s="5"/>
      <c r="R42" s="5"/>
      <c r="S42" s="5"/>
      <c r="T42" s="5"/>
      <c r="U42" s="5"/>
    </row>
    <row r="43" spans="3:29" ht="25.5" hidden="1" customHeight="1" x14ac:dyDescent="0.3">
      <c r="C43" s="7" t="s">
        <v>72</v>
      </c>
      <c r="D43" s="3">
        <v>27</v>
      </c>
      <c r="E43" s="8">
        <f t="shared" ca="1" si="0"/>
        <v>8</v>
      </c>
      <c r="F43" s="8">
        <f t="shared" ca="1" si="1"/>
        <v>0</v>
      </c>
      <c r="I43" t="b">
        <f t="shared" si="2"/>
        <v>0</v>
      </c>
      <c r="J43">
        <f t="shared" si="3"/>
        <v>0</v>
      </c>
      <c r="N43" s="5"/>
      <c r="O43" s="5"/>
      <c r="P43" s="5"/>
      <c r="Q43" s="5"/>
      <c r="R43" s="5"/>
      <c r="S43" s="5"/>
      <c r="T43" s="5"/>
      <c r="U43" s="5"/>
    </row>
    <row r="44" spans="3:29" ht="25.5" hidden="1" customHeight="1" x14ac:dyDescent="0.3">
      <c r="C44" s="7" t="s">
        <v>82</v>
      </c>
      <c r="D44" s="3">
        <v>28</v>
      </c>
      <c r="E44" s="8">
        <f t="shared" ca="1" si="0"/>
        <v>6</v>
      </c>
      <c r="F44" s="8">
        <f t="shared" ca="1" si="1"/>
        <v>0</v>
      </c>
      <c r="I44" t="b">
        <f t="shared" si="2"/>
        <v>0</v>
      </c>
      <c r="J44">
        <f t="shared" si="3"/>
        <v>0</v>
      </c>
      <c r="N44" s="5"/>
      <c r="O44" s="5"/>
      <c r="P44" s="5"/>
      <c r="Q44" s="5"/>
      <c r="R44" s="5"/>
      <c r="S44" s="5"/>
      <c r="T44" s="5"/>
      <c r="U44" s="5"/>
    </row>
    <row r="45" spans="3:29" ht="25.5" hidden="1" customHeight="1" x14ac:dyDescent="0.3">
      <c r="C45" s="7" t="s">
        <v>92</v>
      </c>
      <c r="D45" s="3">
        <v>29</v>
      </c>
      <c r="E45" s="8">
        <f t="shared" ca="1" si="0"/>
        <v>6</v>
      </c>
      <c r="F45" s="8">
        <f t="shared" ca="1" si="1"/>
        <v>0</v>
      </c>
      <c r="I45" t="b">
        <f t="shared" si="2"/>
        <v>0</v>
      </c>
      <c r="J45">
        <f t="shared" si="3"/>
        <v>0</v>
      </c>
      <c r="N45" s="5"/>
      <c r="O45" s="5"/>
      <c r="P45" s="5"/>
      <c r="Q45" s="5"/>
      <c r="R45" s="5"/>
      <c r="S45" s="5"/>
      <c r="T45" s="5"/>
      <c r="U45" s="5"/>
    </row>
    <row r="46" spans="3:29" ht="25.5" hidden="1" customHeight="1" x14ac:dyDescent="0.3">
      <c r="C46" s="7" t="s">
        <v>102</v>
      </c>
      <c r="D46" s="3">
        <v>30</v>
      </c>
      <c r="E46" s="8">
        <f t="shared" ca="1" si="0"/>
        <v>5</v>
      </c>
      <c r="F46" s="8">
        <f t="shared" ca="1" si="1"/>
        <v>0</v>
      </c>
      <c r="I46" t="b">
        <f t="shared" si="2"/>
        <v>0</v>
      </c>
      <c r="J46">
        <f t="shared" si="3"/>
        <v>0</v>
      </c>
      <c r="N46" s="5"/>
      <c r="O46" s="5"/>
      <c r="P46" s="5"/>
      <c r="Q46" s="5"/>
      <c r="R46" s="5"/>
      <c r="S46" s="5"/>
      <c r="T46" s="5"/>
    </row>
    <row r="47" spans="3:29" ht="25.5" hidden="1" customHeight="1" x14ac:dyDescent="0.3">
      <c r="C47" s="7" t="s">
        <v>13</v>
      </c>
      <c r="D47" s="3">
        <v>31</v>
      </c>
      <c r="E47" s="8">
        <f t="shared" ca="1" si="0"/>
        <v>4</v>
      </c>
      <c r="F47" s="8">
        <f t="shared" ca="1" si="1"/>
        <v>0</v>
      </c>
      <c r="I47" t="b">
        <f t="shared" si="2"/>
        <v>0</v>
      </c>
      <c r="J47">
        <f t="shared" si="3"/>
        <v>0</v>
      </c>
      <c r="N47" s="5"/>
      <c r="O47" s="5"/>
      <c r="P47" s="5"/>
      <c r="Q47" s="5"/>
      <c r="R47" s="5"/>
      <c r="S47" s="5"/>
      <c r="T47" s="5"/>
      <c r="U47" s="5"/>
    </row>
    <row r="48" spans="3:29" ht="20.25" hidden="1" customHeight="1" x14ac:dyDescent="0.3">
      <c r="C48" s="7" t="s">
        <v>23</v>
      </c>
      <c r="D48" s="3">
        <v>32</v>
      </c>
      <c r="E48" s="8">
        <f t="shared" ca="1" si="0"/>
        <v>7</v>
      </c>
      <c r="F48" s="8">
        <f t="shared" ca="1" si="1"/>
        <v>0</v>
      </c>
      <c r="I48" t="b">
        <f t="shared" si="2"/>
        <v>0</v>
      </c>
      <c r="J48">
        <f t="shared" si="3"/>
        <v>0</v>
      </c>
      <c r="N48" s="5"/>
      <c r="O48" s="5"/>
      <c r="P48" s="5"/>
      <c r="Q48" s="5"/>
      <c r="R48" s="5"/>
      <c r="S48" s="5"/>
      <c r="T48" s="5"/>
      <c r="U48" s="5"/>
    </row>
    <row r="49" spans="3:22" ht="25.5" hidden="1" customHeight="1" x14ac:dyDescent="0.3">
      <c r="C49" s="7" t="s">
        <v>33</v>
      </c>
      <c r="D49" s="3">
        <v>33</v>
      </c>
      <c r="E49" s="8">
        <f t="shared" ca="1" si="0"/>
        <v>5</v>
      </c>
      <c r="F49" s="8">
        <f t="shared" ca="1" si="1"/>
        <v>0</v>
      </c>
      <c r="I49" t="b">
        <f t="shared" ref="I49:I80" si="24">AND($N$12=D49)</f>
        <v>0</v>
      </c>
      <c r="J49">
        <f t="shared" si="3"/>
        <v>0</v>
      </c>
      <c r="O49" s="5"/>
      <c r="P49" s="5"/>
      <c r="Q49" s="5"/>
      <c r="R49" s="5"/>
      <c r="S49" s="5"/>
      <c r="T49" s="5"/>
      <c r="U49" s="5"/>
      <c r="V49" s="5"/>
    </row>
    <row r="50" spans="3:22" ht="25.5" hidden="1" customHeight="1" x14ac:dyDescent="0.3">
      <c r="C50" s="7" t="s">
        <v>43</v>
      </c>
      <c r="D50" s="3">
        <v>34</v>
      </c>
      <c r="E50" s="8">
        <f t="shared" ca="1" si="0"/>
        <v>7</v>
      </c>
      <c r="F50" s="8">
        <f t="shared" ca="1" si="1"/>
        <v>0</v>
      </c>
      <c r="I50" t="b">
        <f t="shared" si="24"/>
        <v>0</v>
      </c>
      <c r="J50">
        <f t="shared" si="3"/>
        <v>0</v>
      </c>
      <c r="O50" s="5"/>
      <c r="P50" s="5"/>
      <c r="Q50" s="5"/>
      <c r="R50" s="5"/>
      <c r="S50" s="5"/>
      <c r="T50" s="5"/>
      <c r="U50" s="5"/>
      <c r="V50" s="5"/>
    </row>
    <row r="51" spans="3:22" ht="25.5" hidden="1" customHeight="1" x14ac:dyDescent="0.3">
      <c r="C51" s="7" t="s">
        <v>53</v>
      </c>
      <c r="D51" s="3">
        <v>35</v>
      </c>
      <c r="E51" s="8">
        <f t="shared" ca="1" si="0"/>
        <v>1</v>
      </c>
      <c r="F51" s="8">
        <f t="shared" ca="1" si="1"/>
        <v>0</v>
      </c>
      <c r="I51" t="b">
        <f t="shared" si="24"/>
        <v>0</v>
      </c>
      <c r="J51">
        <f t="shared" si="3"/>
        <v>0</v>
      </c>
      <c r="O51" s="5"/>
      <c r="P51" s="5"/>
      <c r="Q51" s="5"/>
      <c r="R51" s="5"/>
      <c r="S51" s="5"/>
      <c r="T51" s="5"/>
      <c r="U51" s="5"/>
      <c r="V51" s="5"/>
    </row>
    <row r="52" spans="3:22" ht="25.5" hidden="1" customHeight="1" x14ac:dyDescent="0.3">
      <c r="C52" s="7" t="s">
        <v>63</v>
      </c>
      <c r="D52" s="3">
        <v>36</v>
      </c>
      <c r="E52" s="8">
        <f ca="1">RANDBETWEEN(1,10)</f>
        <v>2</v>
      </c>
      <c r="F52" s="8">
        <f t="shared" ca="1" si="1"/>
        <v>0</v>
      </c>
      <c r="I52" t="b">
        <f t="shared" si="24"/>
        <v>0</v>
      </c>
      <c r="J52">
        <f t="shared" si="3"/>
        <v>0</v>
      </c>
      <c r="O52" s="5"/>
      <c r="P52" s="5"/>
      <c r="Q52" s="5"/>
      <c r="R52" s="5"/>
      <c r="S52" s="5"/>
      <c r="T52" s="5"/>
      <c r="U52" s="5"/>
      <c r="V52" s="5"/>
    </row>
    <row r="53" spans="3:22" ht="25.5" hidden="1" customHeight="1" x14ac:dyDescent="0.3">
      <c r="C53" s="7" t="s">
        <v>73</v>
      </c>
      <c r="D53" s="3">
        <v>37</v>
      </c>
      <c r="E53" s="8">
        <f t="shared" ca="1" si="0"/>
        <v>5</v>
      </c>
      <c r="F53" s="8">
        <f t="shared" ca="1" si="1"/>
        <v>0</v>
      </c>
      <c r="I53" t="b">
        <f t="shared" si="24"/>
        <v>0</v>
      </c>
      <c r="J53">
        <f t="shared" si="3"/>
        <v>0</v>
      </c>
      <c r="O53" s="5"/>
      <c r="P53" s="5"/>
      <c r="Q53" s="5"/>
      <c r="R53" s="5"/>
      <c r="S53" s="5"/>
      <c r="T53" s="5"/>
      <c r="U53" s="5"/>
      <c r="V53" s="5"/>
    </row>
    <row r="54" spans="3:22" ht="25.5" hidden="1" customHeight="1" x14ac:dyDescent="0.3">
      <c r="C54" s="7" t="s">
        <v>83</v>
      </c>
      <c r="D54" s="3">
        <v>38</v>
      </c>
      <c r="E54" s="8">
        <f t="shared" ca="1" si="0"/>
        <v>6</v>
      </c>
      <c r="F54" s="8">
        <f t="shared" ca="1" si="1"/>
        <v>0</v>
      </c>
      <c r="I54" t="b">
        <f t="shared" si="24"/>
        <v>0</v>
      </c>
      <c r="J54">
        <f t="shared" si="3"/>
        <v>0</v>
      </c>
      <c r="O54" s="5"/>
      <c r="P54" s="5"/>
      <c r="Q54" s="5"/>
      <c r="R54" s="5"/>
      <c r="S54" s="5"/>
      <c r="T54" s="5"/>
      <c r="U54" s="5"/>
      <c r="V54" s="5"/>
    </row>
    <row r="55" spans="3:22" ht="25.5" hidden="1" customHeight="1" x14ac:dyDescent="0.3">
      <c r="C55" s="7" t="s">
        <v>93</v>
      </c>
      <c r="D55" s="3">
        <v>39</v>
      </c>
      <c r="E55" s="8">
        <f t="shared" ca="1" si="0"/>
        <v>9</v>
      </c>
      <c r="F55" s="8">
        <f t="shared" ca="1" si="1"/>
        <v>1</v>
      </c>
      <c r="I55" t="b">
        <f t="shared" si="24"/>
        <v>0</v>
      </c>
      <c r="J55">
        <f t="shared" si="3"/>
        <v>0</v>
      </c>
      <c r="O55" s="5"/>
      <c r="P55" s="5"/>
      <c r="Q55" s="5"/>
      <c r="R55" s="5"/>
      <c r="S55" s="5"/>
      <c r="T55" s="5"/>
      <c r="U55" s="5"/>
      <c r="V55" s="5"/>
    </row>
    <row r="56" spans="3:22" ht="25.5" hidden="1" customHeight="1" x14ac:dyDescent="0.3">
      <c r="C56" s="7" t="s">
        <v>103</v>
      </c>
      <c r="D56" s="3">
        <v>40</v>
      </c>
      <c r="E56" s="8">
        <f t="shared" ca="1" si="0"/>
        <v>1</v>
      </c>
      <c r="F56" s="8">
        <f t="shared" ca="1" si="1"/>
        <v>0</v>
      </c>
      <c r="I56" t="b">
        <f t="shared" si="24"/>
        <v>0</v>
      </c>
      <c r="J56">
        <f t="shared" si="3"/>
        <v>0</v>
      </c>
      <c r="O56" s="5"/>
      <c r="P56" s="5"/>
      <c r="Q56" s="5"/>
      <c r="R56" s="5"/>
      <c r="S56" s="5"/>
      <c r="T56" s="5"/>
      <c r="U56" s="5"/>
      <c r="V56" s="5"/>
    </row>
    <row r="57" spans="3:22" ht="25.5" hidden="1" customHeight="1" x14ac:dyDescent="0.3">
      <c r="C57" s="7" t="s">
        <v>14</v>
      </c>
      <c r="D57" s="3">
        <v>41</v>
      </c>
      <c r="E57" s="8">
        <f t="shared" ca="1" si="0"/>
        <v>5</v>
      </c>
      <c r="F57" s="8">
        <f t="shared" ca="1" si="1"/>
        <v>0</v>
      </c>
      <c r="I57" t="b">
        <f t="shared" si="24"/>
        <v>0</v>
      </c>
      <c r="J57">
        <f t="shared" si="3"/>
        <v>0</v>
      </c>
      <c r="O57" s="5"/>
      <c r="P57" s="5"/>
      <c r="Q57" s="5"/>
      <c r="R57" s="5"/>
      <c r="S57" s="5"/>
      <c r="T57" s="5"/>
      <c r="U57" s="5"/>
      <c r="V57" s="5"/>
    </row>
    <row r="58" spans="3:22" ht="25.5" hidden="1" customHeight="1" x14ac:dyDescent="0.3">
      <c r="C58" s="7" t="s">
        <v>24</v>
      </c>
      <c r="D58" s="3">
        <v>42</v>
      </c>
      <c r="E58" s="8">
        <f t="shared" ca="1" si="0"/>
        <v>1</v>
      </c>
      <c r="F58" s="8">
        <f t="shared" ca="1" si="1"/>
        <v>0</v>
      </c>
      <c r="I58" t="b">
        <f t="shared" si="24"/>
        <v>0</v>
      </c>
      <c r="J58">
        <f t="shared" si="3"/>
        <v>0</v>
      </c>
      <c r="O58" s="5"/>
      <c r="P58" s="5"/>
      <c r="Q58" s="5"/>
      <c r="R58" s="5"/>
      <c r="S58" s="5"/>
      <c r="T58" s="5"/>
      <c r="U58" s="5"/>
      <c r="V58" s="5"/>
    </row>
    <row r="59" spans="3:22" ht="14.25" hidden="1" customHeight="1" x14ac:dyDescent="0.3">
      <c r="C59" s="7" t="s">
        <v>34</v>
      </c>
      <c r="D59" s="3">
        <v>43</v>
      </c>
      <c r="E59" s="8">
        <f t="shared" ca="1" si="0"/>
        <v>4</v>
      </c>
      <c r="F59" s="8">
        <f t="shared" ca="1" si="1"/>
        <v>0</v>
      </c>
      <c r="I59" t="b">
        <f t="shared" si="24"/>
        <v>0</v>
      </c>
      <c r="J59">
        <f t="shared" si="3"/>
        <v>0</v>
      </c>
      <c r="O59" s="5"/>
      <c r="P59" s="5"/>
      <c r="Q59" s="5"/>
      <c r="R59" s="5"/>
      <c r="S59" s="5"/>
      <c r="T59" s="5"/>
      <c r="U59" s="5"/>
      <c r="V59" s="5"/>
    </row>
    <row r="60" spans="3:22" ht="25.5" hidden="1" customHeight="1" x14ac:dyDescent="0.3">
      <c r="C60" s="7" t="s">
        <v>44</v>
      </c>
      <c r="D60" s="3">
        <v>44</v>
      </c>
      <c r="E60" s="8">
        <f t="shared" ca="1" si="0"/>
        <v>9</v>
      </c>
      <c r="F60" s="8">
        <f t="shared" ca="1" si="1"/>
        <v>1</v>
      </c>
      <c r="I60" t="b">
        <f t="shared" si="24"/>
        <v>0</v>
      </c>
      <c r="J60">
        <f t="shared" si="3"/>
        <v>0</v>
      </c>
      <c r="O60" s="5"/>
      <c r="P60" s="5"/>
      <c r="Q60" s="5"/>
      <c r="R60" s="5"/>
      <c r="S60" s="5"/>
      <c r="T60" s="5"/>
      <c r="U60" s="5"/>
      <c r="V60" s="5"/>
    </row>
    <row r="61" spans="3:22" ht="25.5" hidden="1" customHeight="1" x14ac:dyDescent="0.3">
      <c r="C61" s="7" t="s">
        <v>54</v>
      </c>
      <c r="D61" s="3">
        <v>45</v>
      </c>
      <c r="E61" s="8">
        <f t="shared" ca="1" si="0"/>
        <v>6</v>
      </c>
      <c r="F61" s="8">
        <f t="shared" ca="1" si="1"/>
        <v>0</v>
      </c>
      <c r="I61" t="b">
        <f t="shared" si="24"/>
        <v>0</v>
      </c>
      <c r="J61">
        <f t="shared" si="3"/>
        <v>0</v>
      </c>
      <c r="O61" s="5"/>
      <c r="P61" s="5"/>
      <c r="Q61" s="5"/>
      <c r="R61" s="5"/>
      <c r="S61" s="5"/>
      <c r="T61" s="5"/>
      <c r="U61" s="5"/>
      <c r="V61" s="5"/>
    </row>
    <row r="62" spans="3:22" ht="25.5" hidden="1" customHeight="1" x14ac:dyDescent="0.3">
      <c r="C62" s="7" t="s">
        <v>64</v>
      </c>
      <c r="D62" s="3">
        <v>46</v>
      </c>
      <c r="E62" s="8">
        <f t="shared" ca="1" si="0"/>
        <v>9</v>
      </c>
      <c r="F62" s="8">
        <f t="shared" ca="1" si="1"/>
        <v>1</v>
      </c>
      <c r="I62" t="b">
        <f t="shared" si="24"/>
        <v>0</v>
      </c>
      <c r="J62">
        <f t="shared" si="3"/>
        <v>0</v>
      </c>
      <c r="O62" s="5"/>
      <c r="P62" s="5"/>
      <c r="Q62" s="5"/>
      <c r="R62" s="5"/>
      <c r="S62" s="5"/>
      <c r="T62" s="5"/>
      <c r="U62" s="5"/>
      <c r="V62" s="5"/>
    </row>
    <row r="63" spans="3:22" ht="25.5" hidden="1" customHeight="1" x14ac:dyDescent="0.3">
      <c r="C63" s="7" t="s">
        <v>74</v>
      </c>
      <c r="D63" s="3">
        <v>47</v>
      </c>
      <c r="E63" s="8">
        <f t="shared" ca="1" si="0"/>
        <v>5</v>
      </c>
      <c r="F63" s="8">
        <f t="shared" ca="1" si="1"/>
        <v>0</v>
      </c>
      <c r="I63" t="b">
        <f t="shared" si="24"/>
        <v>0</v>
      </c>
      <c r="J63">
        <f t="shared" si="3"/>
        <v>0</v>
      </c>
      <c r="O63" s="5"/>
      <c r="P63" s="5"/>
      <c r="Q63" s="5"/>
      <c r="R63" s="5"/>
      <c r="S63" s="5"/>
      <c r="T63" s="5"/>
      <c r="U63" s="5"/>
      <c r="V63" s="5"/>
    </row>
    <row r="64" spans="3:22" ht="25.5" hidden="1" customHeight="1" x14ac:dyDescent="0.3">
      <c r="C64" s="7" t="s">
        <v>84</v>
      </c>
      <c r="D64" s="3">
        <v>48</v>
      </c>
      <c r="E64" s="8">
        <f t="shared" ca="1" si="0"/>
        <v>8</v>
      </c>
      <c r="F64" s="8">
        <f t="shared" ca="1" si="1"/>
        <v>0</v>
      </c>
      <c r="I64" t="b">
        <f t="shared" si="24"/>
        <v>0</v>
      </c>
      <c r="J64">
        <f t="shared" si="3"/>
        <v>0</v>
      </c>
      <c r="O64" s="5"/>
      <c r="P64" s="5"/>
      <c r="Q64" s="5"/>
      <c r="R64" s="5"/>
      <c r="S64" s="5"/>
      <c r="T64" s="5"/>
      <c r="U64" s="5"/>
      <c r="V64" s="5"/>
    </row>
    <row r="65" spans="3:22" ht="25.5" hidden="1" customHeight="1" x14ac:dyDescent="0.3">
      <c r="C65" s="7" t="s">
        <v>94</v>
      </c>
      <c r="D65" s="3">
        <v>49</v>
      </c>
      <c r="E65" s="8">
        <f t="shared" ca="1" si="0"/>
        <v>5</v>
      </c>
      <c r="F65" s="8">
        <f t="shared" ca="1" si="1"/>
        <v>0</v>
      </c>
      <c r="I65" t="b">
        <f t="shared" si="24"/>
        <v>0</v>
      </c>
      <c r="J65">
        <f t="shared" si="3"/>
        <v>0</v>
      </c>
      <c r="O65" s="5"/>
      <c r="P65" s="5"/>
      <c r="Q65" s="5"/>
      <c r="R65" s="5"/>
      <c r="S65" s="5"/>
      <c r="T65" s="5"/>
      <c r="U65" s="5"/>
      <c r="V65" s="5"/>
    </row>
    <row r="66" spans="3:22" ht="25.5" hidden="1" customHeight="1" x14ac:dyDescent="0.3">
      <c r="C66" s="7" t="s">
        <v>104</v>
      </c>
      <c r="D66" s="3">
        <v>50</v>
      </c>
      <c r="E66" s="8">
        <f t="shared" ca="1" si="0"/>
        <v>9</v>
      </c>
      <c r="F66" s="8">
        <f t="shared" ca="1" si="1"/>
        <v>1</v>
      </c>
      <c r="I66" t="b">
        <f t="shared" si="24"/>
        <v>0</v>
      </c>
      <c r="J66">
        <f t="shared" si="3"/>
        <v>0</v>
      </c>
      <c r="O66" s="5"/>
      <c r="P66" s="5"/>
      <c r="Q66" s="5"/>
      <c r="R66" s="5"/>
      <c r="S66" s="5"/>
      <c r="T66" s="5"/>
      <c r="U66" s="5"/>
      <c r="V66" s="5"/>
    </row>
    <row r="67" spans="3:22" ht="25.5" hidden="1" customHeight="1" x14ac:dyDescent="0.3">
      <c r="C67" s="7" t="s">
        <v>15</v>
      </c>
      <c r="D67" s="3">
        <v>51</v>
      </c>
      <c r="E67" s="8">
        <f t="shared" ca="1" si="0"/>
        <v>3</v>
      </c>
      <c r="F67" s="8">
        <f t="shared" ca="1" si="1"/>
        <v>0</v>
      </c>
      <c r="I67" t="b">
        <f t="shared" si="24"/>
        <v>0</v>
      </c>
      <c r="J67">
        <f t="shared" si="3"/>
        <v>0</v>
      </c>
      <c r="O67" s="5"/>
      <c r="P67" s="5"/>
      <c r="Q67" s="5"/>
      <c r="R67" s="5"/>
      <c r="S67" s="5"/>
      <c r="T67" s="5"/>
      <c r="U67" s="5"/>
      <c r="V67" s="5"/>
    </row>
    <row r="68" spans="3:22" ht="25.5" hidden="1" customHeight="1" x14ac:dyDescent="0.3">
      <c r="C68" s="7" t="s">
        <v>25</v>
      </c>
      <c r="D68" s="3">
        <v>52</v>
      </c>
      <c r="E68" s="8">
        <f t="shared" ca="1" si="0"/>
        <v>4</v>
      </c>
      <c r="F68" s="8">
        <f t="shared" ca="1" si="1"/>
        <v>0</v>
      </c>
      <c r="I68" t="b">
        <f t="shared" si="24"/>
        <v>0</v>
      </c>
      <c r="J68">
        <f t="shared" si="3"/>
        <v>0</v>
      </c>
      <c r="O68" s="5"/>
      <c r="P68" s="5"/>
      <c r="Q68" s="5"/>
      <c r="R68" s="5"/>
      <c r="S68" s="5"/>
      <c r="T68" s="5"/>
      <c r="U68" s="5"/>
      <c r="V68" s="5"/>
    </row>
    <row r="69" spans="3:22" ht="25.5" hidden="1" customHeight="1" x14ac:dyDescent="0.3">
      <c r="C69" s="7" t="s">
        <v>35</v>
      </c>
      <c r="D69" s="3">
        <v>53</v>
      </c>
      <c r="E69" s="8">
        <f t="shared" ca="1" si="0"/>
        <v>4</v>
      </c>
      <c r="F69" s="8">
        <f t="shared" ca="1" si="1"/>
        <v>0</v>
      </c>
      <c r="I69" t="b">
        <f t="shared" si="24"/>
        <v>0</v>
      </c>
      <c r="J69">
        <f t="shared" si="3"/>
        <v>0</v>
      </c>
      <c r="O69" s="5"/>
      <c r="P69" s="5"/>
      <c r="Q69" s="5"/>
      <c r="R69" s="5"/>
      <c r="S69" s="5"/>
      <c r="T69" s="5"/>
      <c r="U69" s="5"/>
      <c r="V69" s="5"/>
    </row>
    <row r="70" spans="3:22" ht="6.75" hidden="1" customHeight="1" x14ac:dyDescent="0.3">
      <c r="C70" s="7" t="s">
        <v>45</v>
      </c>
      <c r="D70" s="3">
        <v>54</v>
      </c>
      <c r="E70" s="8">
        <f t="shared" ca="1" si="0"/>
        <v>10</v>
      </c>
      <c r="F70" s="8">
        <f t="shared" ca="1" si="1"/>
        <v>1</v>
      </c>
      <c r="I70" t="b">
        <f t="shared" si="24"/>
        <v>0</v>
      </c>
      <c r="J70">
        <f t="shared" si="3"/>
        <v>0</v>
      </c>
      <c r="O70" s="5"/>
      <c r="P70" s="5"/>
      <c r="Q70" s="5"/>
      <c r="R70" s="5"/>
      <c r="S70" s="5"/>
      <c r="T70" s="5"/>
      <c r="U70" s="5"/>
      <c r="V70" s="5"/>
    </row>
    <row r="71" spans="3:22" ht="25.5" hidden="1" customHeight="1" x14ac:dyDescent="0.3">
      <c r="C71" s="7" t="s">
        <v>55</v>
      </c>
      <c r="D71" s="3">
        <v>55</v>
      </c>
      <c r="E71" s="8">
        <f t="shared" ca="1" si="0"/>
        <v>3</v>
      </c>
      <c r="F71" s="8">
        <f t="shared" ca="1" si="1"/>
        <v>0</v>
      </c>
      <c r="I71" t="b">
        <f t="shared" si="24"/>
        <v>0</v>
      </c>
      <c r="J71">
        <f t="shared" si="3"/>
        <v>0</v>
      </c>
      <c r="O71" s="5"/>
      <c r="P71" s="5"/>
      <c r="Q71" s="5"/>
      <c r="R71" s="5"/>
      <c r="S71" s="5"/>
      <c r="T71" s="5"/>
      <c r="U71" s="5"/>
      <c r="V71" s="5"/>
    </row>
    <row r="72" spans="3:22" ht="25.5" hidden="1" customHeight="1" x14ac:dyDescent="0.3">
      <c r="C72" s="7" t="s">
        <v>65</v>
      </c>
      <c r="D72" s="3">
        <v>56</v>
      </c>
      <c r="E72" s="8">
        <f t="shared" ca="1" si="0"/>
        <v>10</v>
      </c>
      <c r="F72" s="8">
        <f t="shared" ca="1" si="1"/>
        <v>1</v>
      </c>
      <c r="I72" t="b">
        <f t="shared" si="24"/>
        <v>0</v>
      </c>
      <c r="J72">
        <f t="shared" si="3"/>
        <v>0</v>
      </c>
      <c r="O72" s="5"/>
      <c r="P72" s="5"/>
      <c r="Q72" s="5"/>
      <c r="R72" s="5"/>
      <c r="S72" s="5"/>
      <c r="T72" s="5"/>
      <c r="U72" s="5"/>
      <c r="V72" s="5"/>
    </row>
    <row r="73" spans="3:22" ht="25.5" hidden="1" customHeight="1" x14ac:dyDescent="0.3">
      <c r="C73" s="7" t="s">
        <v>75</v>
      </c>
      <c r="D73" s="3">
        <v>57</v>
      </c>
      <c r="E73" s="8">
        <f t="shared" ca="1" si="0"/>
        <v>1</v>
      </c>
      <c r="F73" s="8">
        <f t="shared" ca="1" si="1"/>
        <v>0</v>
      </c>
      <c r="I73" t="b">
        <f t="shared" si="24"/>
        <v>0</v>
      </c>
      <c r="J73">
        <f t="shared" si="3"/>
        <v>0</v>
      </c>
      <c r="O73" s="5"/>
      <c r="P73" s="5"/>
      <c r="Q73" s="5"/>
      <c r="R73" s="5"/>
      <c r="S73" s="5"/>
      <c r="T73" s="5"/>
      <c r="U73" s="5"/>
      <c r="V73" s="5"/>
    </row>
    <row r="74" spans="3:22" ht="25.5" hidden="1" customHeight="1" x14ac:dyDescent="0.3">
      <c r="C74" s="7" t="s">
        <v>85</v>
      </c>
      <c r="D74" s="3">
        <v>58</v>
      </c>
      <c r="E74" s="8">
        <f t="shared" ca="1" si="0"/>
        <v>6</v>
      </c>
      <c r="F74" s="8">
        <f t="shared" ca="1" si="1"/>
        <v>0</v>
      </c>
      <c r="I74" t="b">
        <f t="shared" si="24"/>
        <v>0</v>
      </c>
      <c r="J74">
        <f t="shared" si="3"/>
        <v>0</v>
      </c>
      <c r="O74" s="5"/>
      <c r="P74" s="5"/>
      <c r="Q74" s="5"/>
      <c r="R74" s="5"/>
      <c r="S74" s="5"/>
      <c r="T74" s="5"/>
      <c r="U74" s="5"/>
      <c r="V74" s="5"/>
    </row>
    <row r="75" spans="3:22" ht="25.5" hidden="1" customHeight="1" x14ac:dyDescent="0.3">
      <c r="C75" s="7" t="s">
        <v>95</v>
      </c>
      <c r="D75" s="3">
        <v>59</v>
      </c>
      <c r="E75" s="8">
        <f t="shared" ca="1" si="0"/>
        <v>4</v>
      </c>
      <c r="F75" s="8">
        <f t="shared" ca="1" si="1"/>
        <v>0</v>
      </c>
      <c r="I75" t="b">
        <f t="shared" si="24"/>
        <v>0</v>
      </c>
      <c r="J75">
        <f t="shared" si="3"/>
        <v>0</v>
      </c>
      <c r="O75" s="5"/>
      <c r="P75" s="5"/>
      <c r="Q75" s="5"/>
      <c r="R75" s="5"/>
      <c r="S75" s="5"/>
      <c r="T75" s="5"/>
      <c r="U75" s="5"/>
      <c r="V75" s="5"/>
    </row>
    <row r="76" spans="3:22" ht="22.5" hidden="1" customHeight="1" x14ac:dyDescent="0.3">
      <c r="C76" s="7" t="s">
        <v>105</v>
      </c>
      <c r="D76" s="3">
        <v>60</v>
      </c>
      <c r="E76" s="8">
        <f t="shared" ca="1" si="0"/>
        <v>6</v>
      </c>
      <c r="F76" s="8">
        <f t="shared" ca="1" si="1"/>
        <v>0</v>
      </c>
      <c r="I76" t="b">
        <f t="shared" si="24"/>
        <v>0</v>
      </c>
      <c r="J76">
        <f t="shared" si="3"/>
        <v>0</v>
      </c>
      <c r="O76" s="5"/>
      <c r="P76" s="5"/>
      <c r="Q76" s="5"/>
      <c r="R76" s="5"/>
      <c r="S76" s="5"/>
      <c r="T76" s="5"/>
      <c r="U76" s="5"/>
      <c r="V76" s="5"/>
    </row>
    <row r="77" spans="3:22" ht="25.5" hidden="1" customHeight="1" x14ac:dyDescent="0.3">
      <c r="C77" s="7" t="s">
        <v>16</v>
      </c>
      <c r="D77" s="3">
        <v>61</v>
      </c>
      <c r="E77" s="8">
        <f t="shared" ca="1" si="0"/>
        <v>5</v>
      </c>
      <c r="F77" s="8">
        <f t="shared" ca="1" si="1"/>
        <v>0</v>
      </c>
      <c r="I77" t="b">
        <f t="shared" si="24"/>
        <v>0</v>
      </c>
      <c r="J77">
        <f t="shared" si="3"/>
        <v>0</v>
      </c>
      <c r="O77" s="5"/>
      <c r="P77" s="5"/>
      <c r="Q77" s="5"/>
      <c r="R77" s="5"/>
      <c r="S77" s="5"/>
      <c r="T77" s="5"/>
      <c r="U77" s="5"/>
      <c r="V77" s="5"/>
    </row>
    <row r="78" spans="3:22" ht="25.5" hidden="1" customHeight="1" x14ac:dyDescent="0.3">
      <c r="C78" s="7" t="s">
        <v>26</v>
      </c>
      <c r="D78" s="3">
        <v>62</v>
      </c>
      <c r="E78" s="8">
        <f t="shared" ca="1" si="0"/>
        <v>1</v>
      </c>
      <c r="F78" s="8">
        <f t="shared" ca="1" si="1"/>
        <v>0</v>
      </c>
      <c r="I78" t="b">
        <f t="shared" si="24"/>
        <v>0</v>
      </c>
      <c r="J78">
        <f t="shared" si="3"/>
        <v>0</v>
      </c>
      <c r="O78" s="5"/>
      <c r="P78" s="5"/>
      <c r="Q78" s="5"/>
      <c r="R78" s="5"/>
      <c r="S78" s="5"/>
      <c r="T78" s="5"/>
      <c r="U78" s="5"/>
      <c r="V78" s="5"/>
    </row>
    <row r="79" spans="3:22" ht="25.5" hidden="1" customHeight="1" x14ac:dyDescent="0.3">
      <c r="C79" s="7" t="s">
        <v>36</v>
      </c>
      <c r="D79" s="3">
        <v>63</v>
      </c>
      <c r="E79" s="8">
        <f t="shared" ca="1" si="0"/>
        <v>6</v>
      </c>
      <c r="F79" s="8">
        <f t="shared" ca="1" si="1"/>
        <v>0</v>
      </c>
      <c r="I79" t="b">
        <f t="shared" si="24"/>
        <v>0</v>
      </c>
      <c r="J79">
        <f t="shared" si="3"/>
        <v>0</v>
      </c>
      <c r="O79" s="5"/>
      <c r="P79" s="5"/>
      <c r="Q79" s="5"/>
      <c r="R79" s="5"/>
      <c r="S79" s="5"/>
      <c r="T79" s="5"/>
      <c r="U79" s="5"/>
      <c r="V79" s="5"/>
    </row>
    <row r="80" spans="3:22" ht="25.5" hidden="1" customHeight="1" x14ac:dyDescent="0.3">
      <c r="C80" s="7" t="s">
        <v>46</v>
      </c>
      <c r="D80" s="3">
        <v>64</v>
      </c>
      <c r="E80" s="8">
        <f t="shared" ca="1" si="0"/>
        <v>9</v>
      </c>
      <c r="F80" s="8">
        <f t="shared" ca="1" si="1"/>
        <v>1</v>
      </c>
      <c r="I80" t="b">
        <f t="shared" si="24"/>
        <v>0</v>
      </c>
      <c r="J80">
        <f t="shared" si="3"/>
        <v>0</v>
      </c>
      <c r="O80" s="5"/>
      <c r="P80" s="5"/>
      <c r="Q80" s="5"/>
      <c r="R80" s="5"/>
      <c r="S80" s="5"/>
      <c r="T80" s="5"/>
      <c r="U80" s="5"/>
      <c r="V80" s="5"/>
    </row>
    <row r="81" spans="3:22" ht="25.5" hidden="1" customHeight="1" x14ac:dyDescent="0.3">
      <c r="C81" s="7" t="s">
        <v>56</v>
      </c>
      <c r="D81" s="3">
        <v>65</v>
      </c>
      <c r="E81" s="8">
        <f t="shared" ca="1" si="0"/>
        <v>5</v>
      </c>
      <c r="F81" s="8">
        <f t="shared" ca="1" si="1"/>
        <v>0</v>
      </c>
      <c r="I81" t="b">
        <f t="shared" ref="I81:I116" si="25">AND($N$12=D81)</f>
        <v>0</v>
      </c>
      <c r="J81">
        <f t="shared" si="3"/>
        <v>0</v>
      </c>
      <c r="O81" s="5"/>
      <c r="P81" s="5"/>
      <c r="Q81" s="5"/>
      <c r="R81" s="5"/>
      <c r="S81" s="5"/>
      <c r="T81" s="5"/>
      <c r="U81" s="5"/>
      <c r="V81" s="5"/>
    </row>
    <row r="82" spans="3:22" ht="25.5" hidden="1" customHeight="1" x14ac:dyDescent="0.3">
      <c r="C82" s="7" t="s">
        <v>66</v>
      </c>
      <c r="D82" s="3">
        <v>66</v>
      </c>
      <c r="E82" s="8">
        <f t="shared" ref="E82:E110" ca="1" si="26">RANDBETWEEN(1,10)</f>
        <v>3</v>
      </c>
      <c r="F82" s="8">
        <f t="shared" ref="F82:F116" ca="1" si="27">IF(E82&gt;8,1,0)</f>
        <v>0</v>
      </c>
      <c r="I82" t="b">
        <f t="shared" si="25"/>
        <v>0</v>
      </c>
      <c r="J82">
        <f t="shared" ref="J82:J116" si="28">IF(I82,H82+$T$12,H82+0)</f>
        <v>0</v>
      </c>
      <c r="O82" s="5"/>
      <c r="P82" s="5"/>
      <c r="Q82" s="5"/>
      <c r="R82" s="5"/>
      <c r="S82" s="5"/>
      <c r="T82" s="5"/>
      <c r="U82" s="5"/>
      <c r="V82" s="5"/>
    </row>
    <row r="83" spans="3:22" ht="25.5" hidden="1" customHeight="1" x14ac:dyDescent="0.3">
      <c r="C83" s="7" t="s">
        <v>76</v>
      </c>
      <c r="D83" s="3">
        <v>67</v>
      </c>
      <c r="E83" s="8">
        <f t="shared" ca="1" si="26"/>
        <v>5</v>
      </c>
      <c r="F83" s="8">
        <f t="shared" ca="1" si="27"/>
        <v>0</v>
      </c>
      <c r="I83" t="b">
        <f t="shared" si="25"/>
        <v>0</v>
      </c>
      <c r="J83">
        <f t="shared" si="28"/>
        <v>0</v>
      </c>
      <c r="O83" s="5"/>
      <c r="P83" s="5"/>
      <c r="Q83" s="5"/>
      <c r="R83" s="5"/>
      <c r="S83" s="5"/>
      <c r="T83" s="5"/>
      <c r="U83" s="5"/>
      <c r="V83" s="5"/>
    </row>
    <row r="84" spans="3:22" ht="25.5" hidden="1" customHeight="1" x14ac:dyDescent="0.3">
      <c r="C84" s="7" t="s">
        <v>86</v>
      </c>
      <c r="D84" s="3">
        <v>68</v>
      </c>
      <c r="E84" s="8">
        <f t="shared" ca="1" si="26"/>
        <v>9</v>
      </c>
      <c r="F84" s="8">
        <f t="shared" ca="1" si="27"/>
        <v>1</v>
      </c>
      <c r="I84" t="b">
        <f t="shared" si="25"/>
        <v>0</v>
      </c>
      <c r="J84">
        <f t="shared" si="28"/>
        <v>0</v>
      </c>
      <c r="O84" s="5"/>
      <c r="P84" s="5"/>
      <c r="Q84" s="5"/>
      <c r="R84" s="5"/>
      <c r="S84" s="5"/>
      <c r="T84" s="5"/>
      <c r="U84" s="5"/>
      <c r="V84" s="5"/>
    </row>
    <row r="85" spans="3:22" ht="25.5" hidden="1" customHeight="1" x14ac:dyDescent="0.3">
      <c r="C85" s="7" t="s">
        <v>96</v>
      </c>
      <c r="D85" s="3">
        <v>69</v>
      </c>
      <c r="E85" s="8">
        <f t="shared" ca="1" si="26"/>
        <v>10</v>
      </c>
      <c r="F85" s="8">
        <f t="shared" ca="1" si="27"/>
        <v>1</v>
      </c>
      <c r="I85" t="b">
        <f t="shared" si="25"/>
        <v>0</v>
      </c>
      <c r="J85">
        <f t="shared" si="28"/>
        <v>0</v>
      </c>
      <c r="O85" s="5"/>
      <c r="P85" s="5"/>
      <c r="Q85" s="5"/>
      <c r="R85" s="5"/>
      <c r="S85" s="5"/>
      <c r="T85" s="5"/>
      <c r="U85" s="5"/>
      <c r="V85" s="5"/>
    </row>
    <row r="86" spans="3:22" ht="25.5" hidden="1" customHeight="1" x14ac:dyDescent="0.3">
      <c r="C86" s="7" t="s">
        <v>106</v>
      </c>
      <c r="D86" s="3">
        <v>70</v>
      </c>
      <c r="E86" s="8">
        <f t="shared" ca="1" si="26"/>
        <v>2</v>
      </c>
      <c r="F86" s="8">
        <f t="shared" ca="1" si="27"/>
        <v>0</v>
      </c>
      <c r="I86" t="b">
        <f t="shared" si="25"/>
        <v>0</v>
      </c>
      <c r="J86">
        <f t="shared" si="28"/>
        <v>0</v>
      </c>
      <c r="O86" s="5"/>
      <c r="P86" s="5"/>
      <c r="Q86" s="5"/>
      <c r="R86" s="5"/>
      <c r="S86" s="5"/>
      <c r="T86" s="5"/>
      <c r="U86" s="5"/>
      <c r="V86" s="5"/>
    </row>
    <row r="87" spans="3:22" ht="8.25" hidden="1" customHeight="1" x14ac:dyDescent="0.3">
      <c r="C87" s="7" t="s">
        <v>17</v>
      </c>
      <c r="D87" s="3">
        <v>71</v>
      </c>
      <c r="E87" s="8">
        <f t="shared" ca="1" si="26"/>
        <v>7</v>
      </c>
      <c r="F87" s="8">
        <f t="shared" ca="1" si="27"/>
        <v>0</v>
      </c>
      <c r="I87" t="b">
        <f t="shared" si="25"/>
        <v>0</v>
      </c>
      <c r="J87">
        <f t="shared" si="28"/>
        <v>0</v>
      </c>
      <c r="O87" s="5"/>
      <c r="P87" s="5"/>
      <c r="Q87" s="5"/>
      <c r="R87" s="5"/>
      <c r="S87" s="5"/>
      <c r="T87" s="5"/>
      <c r="U87" s="5"/>
      <c r="V87" s="5"/>
    </row>
    <row r="88" spans="3:22" ht="25.5" hidden="1" customHeight="1" x14ac:dyDescent="0.3">
      <c r="C88" s="7" t="s">
        <v>27</v>
      </c>
      <c r="D88" s="3">
        <v>72</v>
      </c>
      <c r="E88" s="8">
        <f t="shared" ca="1" si="26"/>
        <v>10</v>
      </c>
      <c r="F88" s="8">
        <f t="shared" ca="1" si="27"/>
        <v>1</v>
      </c>
      <c r="I88" t="b">
        <f t="shared" si="25"/>
        <v>0</v>
      </c>
      <c r="J88">
        <f t="shared" si="28"/>
        <v>0</v>
      </c>
      <c r="O88" s="5"/>
      <c r="P88" s="5"/>
      <c r="Q88" s="5"/>
      <c r="R88" s="5"/>
      <c r="S88" s="5"/>
      <c r="T88" s="5"/>
      <c r="U88" s="5"/>
      <c r="V88" s="5"/>
    </row>
    <row r="89" spans="3:22" ht="25.5" hidden="1" customHeight="1" x14ac:dyDescent="0.3">
      <c r="C89" s="7" t="s">
        <v>37</v>
      </c>
      <c r="D89" s="3">
        <v>73</v>
      </c>
      <c r="E89" s="8">
        <f t="shared" ca="1" si="26"/>
        <v>4</v>
      </c>
      <c r="F89" s="8">
        <f t="shared" ca="1" si="27"/>
        <v>0</v>
      </c>
      <c r="I89" t="b">
        <f t="shared" si="25"/>
        <v>0</v>
      </c>
      <c r="J89">
        <f t="shared" si="28"/>
        <v>0</v>
      </c>
      <c r="O89" s="5"/>
      <c r="P89" s="5"/>
      <c r="Q89" s="5"/>
      <c r="R89" s="5"/>
      <c r="S89" s="5"/>
      <c r="T89" s="5"/>
      <c r="U89" s="5"/>
      <c r="V89" s="5"/>
    </row>
    <row r="90" spans="3:22" ht="25.5" hidden="1" customHeight="1" x14ac:dyDescent="0.3">
      <c r="C90" s="7" t="s">
        <v>47</v>
      </c>
      <c r="D90" s="3">
        <v>74</v>
      </c>
      <c r="E90" s="8">
        <f t="shared" ca="1" si="26"/>
        <v>1</v>
      </c>
      <c r="F90" s="8">
        <f t="shared" ca="1" si="27"/>
        <v>0</v>
      </c>
      <c r="I90" t="b">
        <f t="shared" si="25"/>
        <v>0</v>
      </c>
      <c r="J90">
        <f t="shared" si="28"/>
        <v>0</v>
      </c>
      <c r="O90" s="5"/>
      <c r="P90" s="5"/>
      <c r="Q90" s="5"/>
      <c r="R90" s="5"/>
      <c r="S90" s="5"/>
      <c r="T90" s="5"/>
      <c r="U90" s="5"/>
      <c r="V90" s="5"/>
    </row>
    <row r="91" spans="3:22" ht="25.5" hidden="1" customHeight="1" x14ac:dyDescent="0.3">
      <c r="C91" s="7" t="s">
        <v>57</v>
      </c>
      <c r="D91" s="3">
        <v>75</v>
      </c>
      <c r="E91" s="8">
        <f t="shared" ca="1" si="26"/>
        <v>5</v>
      </c>
      <c r="F91" s="8">
        <f t="shared" ca="1" si="27"/>
        <v>0</v>
      </c>
      <c r="I91" t="b">
        <f t="shared" si="25"/>
        <v>0</v>
      </c>
      <c r="J91">
        <f t="shared" si="28"/>
        <v>0</v>
      </c>
      <c r="O91" s="5"/>
      <c r="P91" s="5"/>
      <c r="Q91" s="5"/>
      <c r="R91" s="5"/>
      <c r="S91" s="5"/>
      <c r="T91" s="5"/>
      <c r="U91" s="5"/>
      <c r="V91" s="5"/>
    </row>
    <row r="92" spans="3:22" ht="25.5" hidden="1" customHeight="1" x14ac:dyDescent="0.3">
      <c r="C92" s="7" t="s">
        <v>67</v>
      </c>
      <c r="D92" s="3">
        <v>76</v>
      </c>
      <c r="E92" s="8">
        <f t="shared" ca="1" si="26"/>
        <v>5</v>
      </c>
      <c r="F92" s="8">
        <f t="shared" ca="1" si="27"/>
        <v>0</v>
      </c>
      <c r="I92" t="b">
        <f t="shared" si="25"/>
        <v>0</v>
      </c>
      <c r="J92">
        <f t="shared" si="28"/>
        <v>0</v>
      </c>
      <c r="O92" s="5"/>
      <c r="P92" s="5"/>
      <c r="Q92" s="5"/>
      <c r="R92" s="5"/>
      <c r="S92" s="5"/>
      <c r="T92" s="5"/>
      <c r="U92" s="5"/>
      <c r="V92" s="5"/>
    </row>
    <row r="93" spans="3:22" ht="25.5" hidden="1" customHeight="1" x14ac:dyDescent="0.3">
      <c r="C93" s="7" t="s">
        <v>77</v>
      </c>
      <c r="D93" s="3">
        <v>77</v>
      </c>
      <c r="E93" s="8">
        <f t="shared" ca="1" si="26"/>
        <v>6</v>
      </c>
      <c r="F93" s="8">
        <f t="shared" ca="1" si="27"/>
        <v>0</v>
      </c>
      <c r="I93" t="b">
        <f t="shared" si="25"/>
        <v>0</v>
      </c>
      <c r="J93">
        <f t="shared" si="28"/>
        <v>0</v>
      </c>
      <c r="O93" s="5"/>
      <c r="P93" s="5"/>
      <c r="Q93" s="5"/>
      <c r="R93" s="5"/>
      <c r="S93" s="5"/>
      <c r="T93" s="5"/>
      <c r="U93" s="5"/>
      <c r="V93" s="5"/>
    </row>
    <row r="94" spans="3:22" ht="25.5" hidden="1" customHeight="1" x14ac:dyDescent="0.3">
      <c r="C94" s="7" t="s">
        <v>87</v>
      </c>
      <c r="D94" s="3">
        <v>78</v>
      </c>
      <c r="E94" s="8">
        <f t="shared" ca="1" si="26"/>
        <v>6</v>
      </c>
      <c r="F94" s="8">
        <f t="shared" ca="1" si="27"/>
        <v>0</v>
      </c>
      <c r="I94" t="b">
        <f t="shared" si="25"/>
        <v>0</v>
      </c>
      <c r="J94">
        <f t="shared" si="28"/>
        <v>0</v>
      </c>
      <c r="O94" s="5"/>
      <c r="P94" s="5"/>
      <c r="Q94" s="5"/>
      <c r="R94" s="5"/>
      <c r="S94" s="5"/>
      <c r="T94" s="5"/>
      <c r="U94" s="5"/>
      <c r="V94" s="5"/>
    </row>
    <row r="95" spans="3:22" ht="25.5" hidden="1" customHeight="1" x14ac:dyDescent="0.3">
      <c r="C95" s="7" t="s">
        <v>97</v>
      </c>
      <c r="D95" s="3">
        <v>79</v>
      </c>
      <c r="E95" s="8">
        <f t="shared" ca="1" si="26"/>
        <v>5</v>
      </c>
      <c r="F95" s="8">
        <f t="shared" ca="1" si="27"/>
        <v>0</v>
      </c>
      <c r="I95" t="b">
        <f t="shared" si="25"/>
        <v>0</v>
      </c>
      <c r="J95">
        <f t="shared" si="28"/>
        <v>0</v>
      </c>
      <c r="O95" s="5"/>
      <c r="P95" s="5"/>
      <c r="Q95" s="5"/>
      <c r="R95" s="5"/>
      <c r="S95" s="5"/>
      <c r="T95" s="5"/>
      <c r="U95" s="5"/>
      <c r="V95" s="5"/>
    </row>
    <row r="96" spans="3:22" ht="25.5" hidden="1" customHeight="1" x14ac:dyDescent="0.3">
      <c r="C96" s="7" t="s">
        <v>107</v>
      </c>
      <c r="D96" s="3">
        <v>80</v>
      </c>
      <c r="E96" s="8">
        <f t="shared" ca="1" si="26"/>
        <v>8</v>
      </c>
      <c r="F96" s="8">
        <f t="shared" ca="1" si="27"/>
        <v>0</v>
      </c>
      <c r="I96" t="b">
        <f t="shared" si="25"/>
        <v>0</v>
      </c>
      <c r="J96">
        <f t="shared" si="28"/>
        <v>0</v>
      </c>
      <c r="O96" s="5"/>
      <c r="P96" s="5"/>
      <c r="Q96" s="5"/>
      <c r="R96" s="5"/>
      <c r="S96" s="5"/>
      <c r="T96" s="5"/>
      <c r="U96" s="5"/>
      <c r="V96" s="5"/>
    </row>
    <row r="97" spans="3:22" ht="25.5" hidden="1" customHeight="1" x14ac:dyDescent="0.3">
      <c r="C97" s="7" t="s">
        <v>18</v>
      </c>
      <c r="D97" s="3">
        <v>81</v>
      </c>
      <c r="E97" s="8">
        <f t="shared" ca="1" si="26"/>
        <v>3</v>
      </c>
      <c r="F97" s="8">
        <f t="shared" ca="1" si="27"/>
        <v>0</v>
      </c>
      <c r="I97" t="b">
        <f t="shared" si="25"/>
        <v>0</v>
      </c>
      <c r="J97">
        <f t="shared" si="28"/>
        <v>0</v>
      </c>
      <c r="O97" s="5"/>
      <c r="P97" s="5"/>
      <c r="Q97" s="5"/>
      <c r="R97" s="5"/>
      <c r="S97" s="5"/>
      <c r="T97" s="5"/>
      <c r="U97" s="5"/>
      <c r="V97" s="5"/>
    </row>
    <row r="98" spans="3:22" ht="25.5" hidden="1" customHeight="1" x14ac:dyDescent="0.3">
      <c r="C98" s="7" t="s">
        <v>28</v>
      </c>
      <c r="D98" s="3">
        <v>82</v>
      </c>
      <c r="E98" s="8">
        <f t="shared" ca="1" si="26"/>
        <v>8</v>
      </c>
      <c r="F98" s="8">
        <f t="shared" ca="1" si="27"/>
        <v>0</v>
      </c>
      <c r="I98" t="b">
        <f t="shared" si="25"/>
        <v>0</v>
      </c>
      <c r="J98">
        <f t="shared" si="28"/>
        <v>0</v>
      </c>
      <c r="O98" s="5"/>
      <c r="P98" s="5"/>
      <c r="Q98" s="5"/>
      <c r="R98" s="5"/>
      <c r="S98" s="5"/>
      <c r="T98" s="5"/>
      <c r="U98" s="5"/>
      <c r="V98" s="5"/>
    </row>
    <row r="99" spans="3:22" ht="25.5" hidden="1" customHeight="1" x14ac:dyDescent="0.3">
      <c r="C99" s="7" t="s">
        <v>38</v>
      </c>
      <c r="D99" s="3">
        <v>83</v>
      </c>
      <c r="E99" s="8">
        <f t="shared" ca="1" si="26"/>
        <v>1</v>
      </c>
      <c r="F99" s="8">
        <f t="shared" ca="1" si="27"/>
        <v>0</v>
      </c>
      <c r="I99" t="b">
        <f t="shared" si="25"/>
        <v>0</v>
      </c>
      <c r="J99">
        <f t="shared" si="28"/>
        <v>0</v>
      </c>
      <c r="O99" s="5"/>
      <c r="P99" s="5"/>
      <c r="Q99" s="5"/>
      <c r="R99" s="5"/>
      <c r="S99" s="5"/>
      <c r="T99" s="5"/>
      <c r="U99" s="5"/>
      <c r="V99" s="5"/>
    </row>
    <row r="100" spans="3:22" ht="15.75" hidden="1" customHeight="1" x14ac:dyDescent="0.3">
      <c r="C100" s="7" t="s">
        <v>48</v>
      </c>
      <c r="D100" s="3">
        <v>84</v>
      </c>
      <c r="E100" s="8">
        <f t="shared" ca="1" si="26"/>
        <v>2</v>
      </c>
      <c r="F100" s="8">
        <f t="shared" ca="1" si="27"/>
        <v>0</v>
      </c>
      <c r="I100" t="b">
        <f t="shared" si="25"/>
        <v>0</v>
      </c>
      <c r="J100">
        <f t="shared" si="28"/>
        <v>0</v>
      </c>
      <c r="O100" s="5"/>
      <c r="P100" s="5"/>
      <c r="Q100" s="5"/>
      <c r="R100" s="5"/>
      <c r="S100" s="5"/>
      <c r="T100" s="5"/>
      <c r="U100" s="5"/>
      <c r="V100" s="5"/>
    </row>
    <row r="101" spans="3:22" ht="25.5" hidden="1" customHeight="1" x14ac:dyDescent="0.3">
      <c r="C101" s="7" t="s">
        <v>58</v>
      </c>
      <c r="D101" s="3">
        <v>85</v>
      </c>
      <c r="E101" s="8">
        <f t="shared" ca="1" si="26"/>
        <v>10</v>
      </c>
      <c r="F101" s="8">
        <f t="shared" ca="1" si="27"/>
        <v>1</v>
      </c>
      <c r="I101" t="b">
        <f t="shared" si="25"/>
        <v>0</v>
      </c>
      <c r="J101">
        <f t="shared" si="28"/>
        <v>0</v>
      </c>
      <c r="O101" s="5"/>
      <c r="P101" s="5"/>
      <c r="Q101" s="5"/>
      <c r="R101" s="5"/>
      <c r="S101" s="5"/>
      <c r="T101" s="5"/>
      <c r="U101" s="5"/>
      <c r="V101" s="5"/>
    </row>
    <row r="102" spans="3:22" ht="25.5" hidden="1" customHeight="1" x14ac:dyDescent="0.3">
      <c r="C102" s="7" t="s">
        <v>68</v>
      </c>
      <c r="D102" s="3">
        <v>86</v>
      </c>
      <c r="E102" s="8">
        <f t="shared" ca="1" si="26"/>
        <v>1</v>
      </c>
      <c r="F102" s="8">
        <f t="shared" ca="1" si="27"/>
        <v>0</v>
      </c>
      <c r="I102" t="b">
        <f t="shared" si="25"/>
        <v>0</v>
      </c>
      <c r="J102">
        <f t="shared" si="28"/>
        <v>0</v>
      </c>
      <c r="O102" s="5"/>
      <c r="P102" s="5"/>
      <c r="Q102" s="5"/>
      <c r="R102" s="5"/>
      <c r="S102" s="5"/>
      <c r="T102" s="5"/>
      <c r="U102" s="5"/>
      <c r="V102" s="5"/>
    </row>
    <row r="103" spans="3:22" ht="25.5" hidden="1" customHeight="1" x14ac:dyDescent="0.3">
      <c r="C103" s="7" t="s">
        <v>78</v>
      </c>
      <c r="D103" s="3">
        <v>87</v>
      </c>
      <c r="E103" s="8">
        <f t="shared" ca="1" si="26"/>
        <v>5</v>
      </c>
      <c r="F103" s="8">
        <f t="shared" ca="1" si="27"/>
        <v>0</v>
      </c>
      <c r="I103" t="b">
        <f>AND($N$12=D103)</f>
        <v>0</v>
      </c>
      <c r="J103">
        <f t="shared" si="28"/>
        <v>0</v>
      </c>
      <c r="O103" s="5"/>
      <c r="P103" s="5"/>
      <c r="Q103" s="5"/>
      <c r="R103" s="5"/>
      <c r="S103" s="5"/>
      <c r="T103" s="5"/>
      <c r="U103" s="5"/>
      <c r="V103" s="5"/>
    </row>
    <row r="104" spans="3:22" ht="25.5" hidden="1" customHeight="1" x14ac:dyDescent="0.3">
      <c r="C104" s="7" t="s">
        <v>88</v>
      </c>
      <c r="D104" s="3">
        <v>88</v>
      </c>
      <c r="E104" s="8">
        <f t="shared" ca="1" si="26"/>
        <v>8</v>
      </c>
      <c r="F104" s="8">
        <f t="shared" ca="1" si="27"/>
        <v>0</v>
      </c>
      <c r="I104" t="b">
        <f t="shared" si="25"/>
        <v>0</v>
      </c>
      <c r="J104">
        <f t="shared" si="28"/>
        <v>0</v>
      </c>
      <c r="O104" s="5"/>
      <c r="P104" s="5"/>
      <c r="Q104" s="5"/>
      <c r="R104" s="5"/>
      <c r="S104" s="5"/>
      <c r="T104" s="5"/>
      <c r="U104" s="5"/>
      <c r="V104" s="5"/>
    </row>
    <row r="105" spans="3:22" ht="25.5" hidden="1" customHeight="1" x14ac:dyDescent="0.3">
      <c r="C105" s="7" t="s">
        <v>98</v>
      </c>
      <c r="D105" s="3">
        <v>89</v>
      </c>
      <c r="E105" s="8">
        <f t="shared" ca="1" si="26"/>
        <v>2</v>
      </c>
      <c r="F105" s="8">
        <f t="shared" ca="1" si="27"/>
        <v>0</v>
      </c>
      <c r="I105" t="b">
        <f t="shared" si="25"/>
        <v>0</v>
      </c>
      <c r="J105">
        <f t="shared" si="28"/>
        <v>0</v>
      </c>
      <c r="O105" s="5"/>
      <c r="P105" s="5"/>
      <c r="Q105" s="5"/>
      <c r="R105" s="5"/>
      <c r="S105" s="5"/>
      <c r="T105" s="5"/>
      <c r="U105" s="5"/>
      <c r="V105" s="5"/>
    </row>
    <row r="106" spans="3:22" ht="25.5" hidden="1" customHeight="1" x14ac:dyDescent="0.3">
      <c r="C106" s="7" t="s">
        <v>108</v>
      </c>
      <c r="D106" s="3">
        <v>90</v>
      </c>
      <c r="E106" s="8">
        <f t="shared" ca="1" si="26"/>
        <v>5</v>
      </c>
      <c r="F106" s="8">
        <f t="shared" ca="1" si="27"/>
        <v>0</v>
      </c>
      <c r="I106" t="b">
        <f t="shared" si="25"/>
        <v>0</v>
      </c>
      <c r="J106">
        <f t="shared" si="28"/>
        <v>0</v>
      </c>
      <c r="O106" s="5"/>
      <c r="P106" s="5"/>
      <c r="Q106" s="5"/>
      <c r="R106" s="5"/>
      <c r="S106" s="5"/>
      <c r="T106" s="5"/>
      <c r="U106" s="5"/>
      <c r="V106" s="5"/>
    </row>
    <row r="107" spans="3:22" ht="25.5" hidden="1" customHeight="1" x14ac:dyDescent="0.3">
      <c r="C107" s="7" t="s">
        <v>19</v>
      </c>
      <c r="D107" s="3">
        <v>91</v>
      </c>
      <c r="E107" s="8">
        <f t="shared" ca="1" si="26"/>
        <v>9</v>
      </c>
      <c r="F107" s="8">
        <f t="shared" ca="1" si="27"/>
        <v>1</v>
      </c>
      <c r="I107" t="b">
        <f t="shared" si="25"/>
        <v>0</v>
      </c>
      <c r="J107">
        <f t="shared" si="28"/>
        <v>0</v>
      </c>
      <c r="O107" s="5"/>
      <c r="P107" s="5"/>
      <c r="Q107" s="5"/>
      <c r="R107" s="5"/>
      <c r="S107" s="5"/>
      <c r="T107" s="5"/>
      <c r="U107" s="5"/>
      <c r="V107" s="5"/>
    </row>
    <row r="108" spans="3:22" ht="25.5" hidden="1" customHeight="1" x14ac:dyDescent="0.3">
      <c r="C108" s="7" t="s">
        <v>29</v>
      </c>
      <c r="D108" s="3">
        <v>92</v>
      </c>
      <c r="E108" s="8">
        <f t="shared" ca="1" si="26"/>
        <v>6</v>
      </c>
      <c r="F108" s="8">
        <f t="shared" ca="1" si="27"/>
        <v>0</v>
      </c>
      <c r="I108" t="b">
        <f t="shared" si="25"/>
        <v>0</v>
      </c>
      <c r="J108">
        <f t="shared" si="28"/>
        <v>0</v>
      </c>
      <c r="O108" s="5"/>
      <c r="P108" s="5"/>
      <c r="Q108" s="5"/>
      <c r="R108" s="5"/>
      <c r="S108" s="5"/>
      <c r="T108" s="5"/>
      <c r="U108" s="5"/>
      <c r="V108" s="5"/>
    </row>
    <row r="109" spans="3:22" ht="25.5" hidden="1" customHeight="1" x14ac:dyDescent="0.3">
      <c r="C109" s="7" t="s">
        <v>39</v>
      </c>
      <c r="D109" s="3">
        <v>93</v>
      </c>
      <c r="E109" s="8">
        <f t="shared" ca="1" si="26"/>
        <v>4</v>
      </c>
      <c r="F109" s="8">
        <f t="shared" ca="1" si="27"/>
        <v>0</v>
      </c>
      <c r="I109" t="b">
        <f t="shared" si="25"/>
        <v>0</v>
      </c>
      <c r="J109">
        <f t="shared" si="28"/>
        <v>0</v>
      </c>
      <c r="O109" s="5"/>
      <c r="P109" s="5"/>
      <c r="Q109" s="5"/>
      <c r="R109" s="5"/>
      <c r="S109" s="5"/>
      <c r="T109" s="5"/>
      <c r="U109" s="5"/>
      <c r="V109" s="5"/>
    </row>
    <row r="110" spans="3:22" ht="25.5" hidden="1" customHeight="1" x14ac:dyDescent="0.3">
      <c r="C110" s="7" t="s">
        <v>49</v>
      </c>
      <c r="D110" s="3">
        <v>94</v>
      </c>
      <c r="E110" s="8">
        <f t="shared" ca="1" si="26"/>
        <v>3</v>
      </c>
      <c r="F110" s="8">
        <f t="shared" ca="1" si="27"/>
        <v>0</v>
      </c>
      <c r="I110" t="b">
        <f t="shared" si="25"/>
        <v>0</v>
      </c>
      <c r="J110">
        <f t="shared" si="28"/>
        <v>0</v>
      </c>
      <c r="O110" s="5"/>
      <c r="P110" s="5"/>
      <c r="Q110" s="5"/>
      <c r="R110" s="5"/>
      <c r="S110" s="5"/>
      <c r="T110" s="5"/>
      <c r="U110" s="5"/>
      <c r="V110" s="5"/>
    </row>
    <row r="111" spans="3:22" ht="25.5" hidden="1" customHeight="1" x14ac:dyDescent="0.3">
      <c r="C111" s="7" t="s">
        <v>59</v>
      </c>
      <c r="D111" s="3">
        <v>95</v>
      </c>
      <c r="E111" s="8">
        <f t="shared" ref="E111:E116" ca="1" si="29">RANDBETWEEN(1,10)</f>
        <v>3</v>
      </c>
      <c r="F111" s="8">
        <f t="shared" ca="1" si="27"/>
        <v>0</v>
      </c>
      <c r="I111" t="b">
        <f t="shared" si="25"/>
        <v>0</v>
      </c>
      <c r="J111">
        <f t="shared" si="28"/>
        <v>0</v>
      </c>
      <c r="O111" s="5"/>
      <c r="P111" s="5"/>
      <c r="Q111" s="5"/>
      <c r="R111" s="5"/>
      <c r="S111" s="5"/>
      <c r="T111" s="5"/>
      <c r="U111" s="5"/>
      <c r="V111" s="5"/>
    </row>
    <row r="112" spans="3:22" ht="25.5" hidden="1" customHeight="1" x14ac:dyDescent="0.3">
      <c r="C112" s="7" t="s">
        <v>69</v>
      </c>
      <c r="D112" s="3">
        <v>96</v>
      </c>
      <c r="E112" s="8">
        <f t="shared" ca="1" si="29"/>
        <v>3</v>
      </c>
      <c r="F112" s="8">
        <f t="shared" ca="1" si="27"/>
        <v>0</v>
      </c>
      <c r="I112" t="b">
        <f t="shared" si="25"/>
        <v>0</v>
      </c>
      <c r="J112">
        <f t="shared" si="28"/>
        <v>0</v>
      </c>
      <c r="O112" s="5"/>
      <c r="P112" s="5"/>
      <c r="Q112" s="5"/>
      <c r="R112" s="5"/>
      <c r="S112" s="5"/>
      <c r="T112" s="5"/>
      <c r="U112" s="5"/>
      <c r="V112" s="5"/>
    </row>
    <row r="113" spans="1:23" ht="12" hidden="1" customHeight="1" x14ac:dyDescent="0.3">
      <c r="C113" s="7" t="s">
        <v>79</v>
      </c>
      <c r="D113" s="3">
        <v>97</v>
      </c>
      <c r="E113" s="8">
        <f t="shared" ca="1" si="29"/>
        <v>8</v>
      </c>
      <c r="F113" s="8">
        <f t="shared" ca="1" si="27"/>
        <v>0</v>
      </c>
      <c r="I113" t="b">
        <f t="shared" si="25"/>
        <v>0</v>
      </c>
      <c r="J113">
        <f t="shared" si="28"/>
        <v>0</v>
      </c>
      <c r="O113" s="5"/>
      <c r="P113" s="5"/>
      <c r="Q113" s="5"/>
      <c r="R113" s="5"/>
      <c r="S113" s="5"/>
      <c r="T113" s="5"/>
      <c r="U113" s="5"/>
      <c r="V113" s="5"/>
    </row>
    <row r="114" spans="1:23" ht="25.5" hidden="1" customHeight="1" x14ac:dyDescent="0.3">
      <c r="C114" s="7" t="s">
        <v>89</v>
      </c>
      <c r="D114" s="3">
        <v>98</v>
      </c>
      <c r="E114" s="8">
        <f t="shared" ca="1" si="29"/>
        <v>1</v>
      </c>
      <c r="F114" s="8">
        <f t="shared" ca="1" si="27"/>
        <v>0</v>
      </c>
      <c r="I114" t="b">
        <f t="shared" si="25"/>
        <v>0</v>
      </c>
      <c r="J114">
        <f t="shared" si="28"/>
        <v>0</v>
      </c>
      <c r="O114" s="5"/>
      <c r="P114" s="5"/>
      <c r="Q114" s="5"/>
      <c r="R114" s="5"/>
      <c r="S114" s="5"/>
      <c r="T114" s="5"/>
      <c r="U114" s="5"/>
      <c r="V114" s="5"/>
    </row>
    <row r="115" spans="1:23" ht="25.5" hidden="1" customHeight="1" x14ac:dyDescent="0.3">
      <c r="C115" s="7" t="s">
        <v>99</v>
      </c>
      <c r="D115" s="3">
        <v>99</v>
      </c>
      <c r="E115" s="8">
        <f t="shared" ca="1" si="29"/>
        <v>6</v>
      </c>
      <c r="F115" s="8">
        <f t="shared" ca="1" si="27"/>
        <v>0</v>
      </c>
      <c r="I115" t="b">
        <f t="shared" si="25"/>
        <v>0</v>
      </c>
      <c r="J115">
        <f t="shared" si="28"/>
        <v>0</v>
      </c>
      <c r="O115" s="5"/>
      <c r="P115" s="5"/>
      <c r="Q115" s="5"/>
      <c r="R115" s="5"/>
      <c r="S115" s="5"/>
      <c r="T115" s="5"/>
      <c r="U115" s="5"/>
      <c r="V115" s="5"/>
    </row>
    <row r="116" spans="1:23" ht="25.5" hidden="1" customHeight="1" x14ac:dyDescent="0.3">
      <c r="C116" s="7" t="s">
        <v>109</v>
      </c>
      <c r="D116" s="3">
        <v>100</v>
      </c>
      <c r="E116" s="8">
        <f t="shared" ca="1" si="29"/>
        <v>5</v>
      </c>
      <c r="F116" s="8">
        <f t="shared" ca="1" si="27"/>
        <v>0</v>
      </c>
      <c r="I116" t="b">
        <f t="shared" si="25"/>
        <v>0</v>
      </c>
      <c r="J116">
        <f t="shared" si="28"/>
        <v>0</v>
      </c>
      <c r="O116" s="5"/>
      <c r="P116" s="5"/>
      <c r="Q116" s="5"/>
      <c r="R116" s="5"/>
      <c r="S116" s="5"/>
      <c r="T116" s="5"/>
      <c r="U116" s="5"/>
      <c r="V116" s="5"/>
    </row>
    <row r="117" spans="1:23" ht="25.5" hidden="1" customHeight="1" x14ac:dyDescent="0.3">
      <c r="C117" s="7">
        <v>0</v>
      </c>
      <c r="D117" s="3">
        <v>0</v>
      </c>
      <c r="E117" s="8">
        <v>0</v>
      </c>
      <c r="F117" s="8">
        <f>IF(E117&gt;8,1,0)</f>
        <v>0</v>
      </c>
      <c r="I117" t="b">
        <f>AND($N$12=D117)</f>
        <v>1</v>
      </c>
      <c r="J117">
        <f>IF(I117,H117+0,H117+0)</f>
        <v>0</v>
      </c>
      <c r="O117" s="5"/>
      <c r="P117" s="5"/>
      <c r="Q117" s="5"/>
      <c r="R117" s="5"/>
      <c r="S117" s="5"/>
      <c r="T117" s="5"/>
      <c r="U117" s="5"/>
      <c r="V117" s="5"/>
    </row>
    <row r="118" spans="1:23" ht="25.5" hidden="1" customHeight="1" x14ac:dyDescent="0.3">
      <c r="O118" s="5"/>
      <c r="P118" s="5"/>
      <c r="Q118" s="5"/>
      <c r="R118" s="5"/>
      <c r="S118" s="5"/>
      <c r="T118" s="5"/>
      <c r="U118" s="5"/>
      <c r="V118" s="5"/>
    </row>
    <row r="119" spans="1:23" ht="25.5" hidden="1" customHeight="1" x14ac:dyDescent="0.3"/>
    <row r="120" spans="1:23" ht="25.5" hidden="1" customHeight="1" x14ac:dyDescent="0.3">
      <c r="A120" s="39" t="s">
        <v>120</v>
      </c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</row>
    <row r="121" spans="1:23" ht="25.5" hidden="1" customHeight="1" x14ac:dyDescent="0.3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</row>
    <row r="122" spans="1:23" ht="18" hidden="1" customHeight="1" x14ac:dyDescent="0.3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</row>
    <row r="123" spans="1:23" ht="25.5" hidden="1" customHeight="1" x14ac:dyDescent="0.3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</row>
    <row r="124" spans="1:23" ht="25.5" hidden="1" customHeight="1" x14ac:dyDescent="0.3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W124" s="17"/>
    </row>
    <row r="125" spans="1:23" ht="25.5" hidden="1" customHeight="1" x14ac:dyDescent="0.3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</row>
    <row r="126" spans="1:23" ht="25.5" hidden="1" customHeight="1" x14ac:dyDescent="0.3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</row>
    <row r="127" spans="1:23" ht="3" customHeight="1" x14ac:dyDescent="0.3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</row>
    <row r="128" spans="1:23" ht="18" x14ac:dyDescent="0.3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5"/>
      <c r="U128" s="5"/>
      <c r="V128" s="5"/>
    </row>
    <row r="129" spans="1:22" ht="12.75" customHeight="1" x14ac:dyDescent="0.3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5"/>
      <c r="U129" s="5"/>
      <c r="V129" s="5"/>
    </row>
    <row r="130" spans="1:22" ht="6" customHeight="1" x14ac:dyDescent="0.3">
      <c r="O130" s="5"/>
      <c r="P130" s="5"/>
      <c r="Q130" s="5"/>
      <c r="R130" s="5"/>
      <c r="S130" s="5"/>
      <c r="T130" s="5"/>
      <c r="U130" s="5"/>
      <c r="V130" s="5"/>
    </row>
    <row r="131" spans="1:22" ht="5.25" customHeight="1" x14ac:dyDescent="0.3">
      <c r="O131" s="5"/>
      <c r="P131" s="5"/>
      <c r="Q131" s="5"/>
      <c r="R131" s="5"/>
      <c r="S131" s="5"/>
      <c r="T131" s="5"/>
      <c r="U131" s="5"/>
      <c r="V131" s="5"/>
    </row>
    <row r="132" spans="1:22" ht="25.5" customHeight="1" x14ac:dyDescent="0.3">
      <c r="O132" s="5"/>
      <c r="P132" s="5"/>
      <c r="Q132" s="5"/>
      <c r="R132" s="5"/>
      <c r="S132" s="5"/>
      <c r="T132" s="5"/>
      <c r="U132" s="5"/>
      <c r="V132" s="5"/>
    </row>
    <row r="133" spans="1:22" ht="30.75" customHeight="1" x14ac:dyDescent="0.3">
      <c r="O133" s="5"/>
      <c r="P133" s="5"/>
      <c r="Q133" s="5"/>
      <c r="R133" s="5"/>
      <c r="S133" s="5"/>
      <c r="T133" s="5"/>
      <c r="U133" s="5"/>
      <c r="V133" s="5"/>
    </row>
    <row r="134" spans="1:22" ht="25.5" customHeight="1" x14ac:dyDescent="0.3">
      <c r="O134" s="5"/>
      <c r="P134" s="5"/>
      <c r="Q134" s="5"/>
      <c r="R134" s="5"/>
      <c r="S134" s="5"/>
      <c r="T134" s="5"/>
      <c r="U134" s="5"/>
      <c r="V134" s="5"/>
    </row>
    <row r="135" spans="1:22" ht="21" customHeight="1" x14ac:dyDescent="0.3">
      <c r="O135" s="5"/>
      <c r="P135" s="5"/>
      <c r="Q135" s="5"/>
      <c r="R135" s="5"/>
      <c r="S135" s="5"/>
      <c r="T135" s="5"/>
      <c r="U135" s="5"/>
      <c r="V135" s="5"/>
    </row>
    <row r="136" spans="1:22" ht="26.25" customHeight="1" x14ac:dyDescent="0.3">
      <c r="O136" s="5"/>
      <c r="P136" s="5"/>
      <c r="Q136" s="5"/>
      <c r="R136" s="5"/>
      <c r="S136" s="5"/>
      <c r="T136" s="5"/>
      <c r="U136" s="5"/>
      <c r="V136" s="5"/>
    </row>
    <row r="137" spans="1:22" ht="26.25" customHeight="1" x14ac:dyDescent="0.3">
      <c r="O137" s="5"/>
      <c r="P137" s="5"/>
      <c r="Q137" s="5"/>
      <c r="R137" s="5"/>
      <c r="S137" s="5"/>
      <c r="T137" s="5"/>
      <c r="U137" s="5"/>
      <c r="V137" s="5"/>
    </row>
    <row r="138" spans="1:22" ht="26.25" customHeight="1" x14ac:dyDescent="0.3">
      <c r="O138" s="5"/>
      <c r="P138" s="5"/>
      <c r="Q138" s="5"/>
      <c r="R138" s="5"/>
      <c r="S138" s="5"/>
      <c r="T138" s="5"/>
      <c r="U138" s="5"/>
      <c r="V138" s="5"/>
    </row>
    <row r="139" spans="1:22" ht="26.25" customHeight="1" x14ac:dyDescent="0.3">
      <c r="O139" s="5"/>
      <c r="P139" s="5"/>
      <c r="Q139" s="5"/>
      <c r="R139" s="5"/>
      <c r="S139" s="5"/>
      <c r="T139" s="5"/>
      <c r="U139" s="5"/>
      <c r="V139" s="5"/>
    </row>
    <row r="140" spans="1:22" ht="26.25" customHeight="1" x14ac:dyDescent="0.3">
      <c r="O140" s="5"/>
      <c r="P140" s="5"/>
      <c r="Q140" s="5"/>
      <c r="R140" s="5"/>
      <c r="S140" s="5"/>
      <c r="T140" s="5"/>
      <c r="U140" s="5"/>
      <c r="V140" s="5"/>
    </row>
    <row r="141" spans="1:22" ht="26.25" customHeight="1" x14ac:dyDescent="0.3">
      <c r="O141" s="5"/>
      <c r="P141" s="5"/>
      <c r="Q141" s="5"/>
      <c r="R141" s="5"/>
      <c r="S141" s="5"/>
      <c r="T141" s="5"/>
      <c r="U141" s="5"/>
      <c r="V141" s="5"/>
    </row>
    <row r="142" spans="1:22" ht="26.25" customHeight="1" x14ac:dyDescent="0.3">
      <c r="O142" s="5"/>
      <c r="P142" s="5"/>
      <c r="Q142" s="5"/>
      <c r="R142" s="5"/>
      <c r="S142" s="5"/>
      <c r="T142" s="5"/>
      <c r="U142" s="5"/>
      <c r="V142" s="5"/>
    </row>
    <row r="143" spans="1:22" ht="26.25" customHeight="1" x14ac:dyDescent="0.3">
      <c r="O143" s="5"/>
      <c r="P143" s="5"/>
      <c r="Q143" s="5"/>
      <c r="R143" s="5"/>
      <c r="S143" s="5"/>
      <c r="T143" s="5"/>
      <c r="U143" s="5"/>
      <c r="V143" s="5"/>
    </row>
    <row r="144" spans="1:22" ht="26.25" customHeight="1" x14ac:dyDescent="0.3">
      <c r="O144" s="5"/>
      <c r="P144" s="5"/>
      <c r="Q144" s="5"/>
      <c r="R144" s="5"/>
      <c r="S144" s="5"/>
      <c r="T144" s="5"/>
      <c r="U144" s="5"/>
      <c r="V144" s="5"/>
    </row>
    <row r="145" spans="15:22" ht="26.25" customHeight="1" x14ac:dyDescent="0.3">
      <c r="O145" s="5"/>
      <c r="P145" s="5"/>
      <c r="Q145" s="5"/>
      <c r="R145" s="5"/>
      <c r="S145" s="5"/>
      <c r="T145" s="5"/>
      <c r="U145" s="5"/>
      <c r="V145" s="5"/>
    </row>
    <row r="146" spans="15:22" ht="26.25" customHeight="1" x14ac:dyDescent="0.3">
      <c r="O146" s="5"/>
      <c r="P146" s="5"/>
      <c r="Q146" s="5"/>
      <c r="R146" s="5"/>
      <c r="S146" s="5"/>
      <c r="T146" s="5"/>
      <c r="U146" s="5"/>
      <c r="V146" s="5"/>
    </row>
    <row r="147" spans="15:22" ht="26.25" customHeight="1" x14ac:dyDescent="0.3">
      <c r="O147" s="5"/>
      <c r="P147" s="5"/>
      <c r="Q147" s="5"/>
      <c r="R147" s="5"/>
      <c r="S147" s="5"/>
      <c r="T147" s="5"/>
      <c r="U147" s="5"/>
      <c r="V147" s="5"/>
    </row>
    <row r="148" spans="15:22" ht="28.5" customHeight="1" x14ac:dyDescent="0.3">
      <c r="O148" s="5"/>
      <c r="P148" s="5"/>
      <c r="Q148" s="5"/>
      <c r="R148" s="5"/>
      <c r="S148" s="5"/>
      <c r="T148" s="5"/>
      <c r="U148" s="5"/>
      <c r="V148" s="5"/>
    </row>
    <row r="149" spans="15:22" ht="28.5" customHeight="1" x14ac:dyDescent="0.3">
      <c r="O149" s="5"/>
      <c r="P149" s="5"/>
      <c r="Q149" s="5"/>
      <c r="R149" s="5"/>
      <c r="S149" s="5"/>
      <c r="T149" s="5"/>
      <c r="U149" s="5"/>
      <c r="V149" s="5"/>
    </row>
    <row r="150" spans="15:22" ht="28.5" customHeight="1" x14ac:dyDescent="0.3">
      <c r="O150" s="5"/>
      <c r="P150" s="5"/>
      <c r="Q150" s="5"/>
      <c r="R150" s="5"/>
      <c r="S150" s="5"/>
      <c r="T150" s="5"/>
      <c r="U150" s="5"/>
      <c r="V150" s="5"/>
    </row>
    <row r="151" spans="15:22" ht="28.5" customHeight="1" x14ac:dyDescent="0.3">
      <c r="O151" s="5"/>
      <c r="P151" s="5"/>
      <c r="Q151" s="5"/>
      <c r="R151" s="5"/>
      <c r="S151" s="5"/>
      <c r="T151" s="5"/>
      <c r="U151" s="5"/>
      <c r="V151" s="5"/>
    </row>
    <row r="152" spans="15:22" ht="28.5" customHeight="1" x14ac:dyDescent="0.3">
      <c r="O152" s="5"/>
      <c r="P152" s="5"/>
      <c r="Q152" s="5"/>
      <c r="R152" s="5"/>
      <c r="S152" s="5"/>
      <c r="T152" s="5"/>
      <c r="U152" s="5"/>
      <c r="V152" s="5"/>
    </row>
    <row r="153" spans="15:22" ht="28.5" customHeight="1" x14ac:dyDescent="0.3">
      <c r="O153" s="5"/>
      <c r="P153" s="5"/>
      <c r="Q153" s="5"/>
      <c r="R153" s="5"/>
      <c r="S153" s="5"/>
      <c r="T153" s="5"/>
      <c r="U153" s="5"/>
      <c r="V153" s="5"/>
    </row>
    <row r="154" spans="15:22" ht="28.5" customHeight="1" x14ac:dyDescent="0.3">
      <c r="O154" s="5"/>
      <c r="P154" s="5"/>
      <c r="Q154" s="5"/>
      <c r="R154" s="5"/>
      <c r="S154" s="5"/>
      <c r="T154" s="5"/>
      <c r="U154" s="5"/>
      <c r="V154" s="5"/>
    </row>
    <row r="155" spans="15:22" ht="28.5" customHeight="1" x14ac:dyDescent="0.3">
      <c r="O155" s="5"/>
      <c r="P155" s="5"/>
      <c r="Q155" s="5"/>
      <c r="R155" s="5"/>
      <c r="S155" s="5"/>
      <c r="T155" s="5"/>
      <c r="U155" s="5"/>
      <c r="V155" s="5"/>
    </row>
    <row r="156" spans="15:22" ht="28.5" customHeight="1" x14ac:dyDescent="0.3">
      <c r="O156" s="5"/>
      <c r="P156" s="5"/>
      <c r="Q156" s="5"/>
      <c r="R156" s="5"/>
      <c r="S156" s="5"/>
      <c r="T156" s="5"/>
      <c r="U156" s="5"/>
      <c r="V156" s="5"/>
    </row>
    <row r="157" spans="15:22" ht="28.5" customHeight="1" x14ac:dyDescent="0.3">
      <c r="O157" s="5"/>
      <c r="P157" s="5"/>
      <c r="Q157" s="5"/>
      <c r="R157" s="5"/>
      <c r="S157" s="5"/>
      <c r="T157" s="5"/>
      <c r="U157" s="5"/>
      <c r="V157" s="5"/>
    </row>
    <row r="158" spans="15:22" ht="28.5" customHeight="1" x14ac:dyDescent="0.3">
      <c r="O158" s="5"/>
      <c r="P158" s="5"/>
      <c r="Q158" s="5"/>
      <c r="R158" s="5"/>
      <c r="S158" s="5"/>
      <c r="T158" s="5"/>
      <c r="U158" s="5"/>
      <c r="V158" s="5"/>
    </row>
    <row r="159" spans="15:22" ht="28.5" customHeight="1" x14ac:dyDescent="0.3">
      <c r="O159" s="5"/>
      <c r="P159" s="5"/>
      <c r="Q159" s="5"/>
      <c r="R159" s="5"/>
      <c r="S159" s="5"/>
      <c r="T159" s="5"/>
      <c r="U159" s="5"/>
      <c r="V159" s="5"/>
    </row>
    <row r="160" spans="15:22" ht="28.5" customHeight="1" x14ac:dyDescent="0.3">
      <c r="O160" s="5"/>
      <c r="P160" s="5"/>
      <c r="Q160" s="5"/>
      <c r="R160" s="5"/>
      <c r="S160" s="5"/>
      <c r="T160" s="5"/>
      <c r="U160" s="5"/>
      <c r="V160" s="5"/>
    </row>
    <row r="161" spans="15:22" ht="28.5" customHeight="1" x14ac:dyDescent="0.3">
      <c r="O161" s="5"/>
      <c r="P161" s="5"/>
      <c r="Q161" s="5"/>
      <c r="R161" s="5"/>
      <c r="S161" s="5"/>
      <c r="T161" s="5"/>
      <c r="U161" s="5"/>
      <c r="V161" s="5"/>
    </row>
    <row r="162" spans="15:22" ht="28.5" customHeight="1" x14ac:dyDescent="0.3">
      <c r="O162" s="5"/>
      <c r="P162" s="5"/>
      <c r="Q162" s="5"/>
      <c r="R162" s="5"/>
      <c r="S162" s="5"/>
      <c r="T162" s="5"/>
      <c r="U162" s="5"/>
      <c r="V162" s="5"/>
    </row>
    <row r="163" spans="15:22" ht="28.5" customHeight="1" x14ac:dyDescent="0.3">
      <c r="O163" s="5"/>
      <c r="P163" s="5"/>
      <c r="Q163" s="5"/>
      <c r="R163" s="5"/>
      <c r="S163" s="5"/>
      <c r="T163" s="5"/>
      <c r="U163" s="5"/>
      <c r="V163" s="5"/>
    </row>
    <row r="164" spans="15:22" ht="28.5" customHeight="1" x14ac:dyDescent="0.3">
      <c r="O164" s="5"/>
      <c r="P164" s="5"/>
      <c r="Q164" s="5"/>
      <c r="R164" s="5"/>
      <c r="S164" s="5"/>
      <c r="T164" s="5"/>
      <c r="U164" s="5"/>
      <c r="V164" s="5"/>
    </row>
    <row r="165" spans="15:22" ht="28.5" customHeight="1" x14ac:dyDescent="0.3">
      <c r="O165" s="5"/>
      <c r="P165" s="5"/>
      <c r="Q165" s="5"/>
      <c r="R165" s="5"/>
      <c r="S165" s="5"/>
      <c r="T165" s="5"/>
      <c r="U165" s="5"/>
      <c r="V165" s="5"/>
    </row>
    <row r="166" spans="15:22" ht="28.5" customHeight="1" x14ac:dyDescent="0.3">
      <c r="O166" s="5"/>
      <c r="P166" s="5"/>
      <c r="Q166" s="5"/>
      <c r="R166" s="5"/>
      <c r="S166" s="5"/>
      <c r="T166" s="5"/>
      <c r="U166" s="5"/>
      <c r="V166" s="5"/>
    </row>
    <row r="167" spans="15:22" ht="28.5" customHeight="1" x14ac:dyDescent="0.3">
      <c r="O167" s="5"/>
      <c r="P167" s="5"/>
      <c r="Q167" s="5"/>
      <c r="R167" s="5"/>
      <c r="S167" s="5"/>
      <c r="T167" s="5"/>
      <c r="U167" s="5"/>
      <c r="V167" s="5"/>
    </row>
    <row r="168" spans="15:22" ht="28.5" customHeight="1" x14ac:dyDescent="0.3">
      <c r="O168" s="5"/>
      <c r="P168" s="5"/>
      <c r="Q168" s="5"/>
      <c r="R168" s="5"/>
      <c r="S168" s="5"/>
      <c r="T168" s="5"/>
      <c r="U168" s="5"/>
      <c r="V168" s="5"/>
    </row>
    <row r="169" spans="15:22" ht="28.5" customHeight="1" x14ac:dyDescent="0.3">
      <c r="O169" s="5"/>
      <c r="P169" s="5"/>
      <c r="Q169" s="5"/>
      <c r="R169" s="5"/>
      <c r="S169" s="5"/>
      <c r="T169" s="5"/>
      <c r="U169" s="5"/>
      <c r="V169" s="5"/>
    </row>
    <row r="170" spans="15:22" ht="28.5" customHeight="1" x14ac:dyDescent="0.3">
      <c r="O170" s="5"/>
      <c r="P170" s="5"/>
      <c r="Q170" s="5"/>
      <c r="R170" s="5"/>
      <c r="S170" s="5"/>
      <c r="T170" s="5"/>
      <c r="U170" s="5"/>
      <c r="V170" s="5"/>
    </row>
    <row r="171" spans="15:22" ht="28.5" customHeight="1" x14ac:dyDescent="0.3">
      <c r="O171" s="5"/>
      <c r="P171" s="5"/>
      <c r="Q171" s="5"/>
      <c r="R171" s="5"/>
      <c r="S171" s="5"/>
      <c r="T171" s="5"/>
      <c r="U171" s="5"/>
      <c r="V171" s="5"/>
    </row>
    <row r="172" spans="15:22" ht="28.5" customHeight="1" x14ac:dyDescent="0.3">
      <c r="O172" s="5"/>
      <c r="P172" s="5"/>
      <c r="Q172" s="5"/>
      <c r="R172" s="5"/>
      <c r="S172" s="5"/>
      <c r="T172" s="5"/>
      <c r="U172" s="5"/>
      <c r="V172" s="5"/>
    </row>
    <row r="173" spans="15:22" ht="28.5" customHeight="1" x14ac:dyDescent="0.3">
      <c r="O173" s="5"/>
      <c r="P173" s="5"/>
      <c r="Q173" s="5"/>
      <c r="R173" s="5"/>
      <c r="S173" s="5"/>
      <c r="T173" s="5"/>
      <c r="U173" s="5"/>
      <c r="V173" s="5"/>
    </row>
    <row r="174" spans="15:22" ht="28.5" customHeight="1" x14ac:dyDescent="0.3">
      <c r="O174" s="5"/>
      <c r="P174" s="5"/>
      <c r="Q174" s="5"/>
      <c r="R174" s="5"/>
      <c r="S174" s="5"/>
      <c r="T174" s="5"/>
      <c r="U174" s="5"/>
      <c r="V174" s="5"/>
    </row>
    <row r="175" spans="15:22" ht="28.5" customHeight="1" x14ac:dyDescent="0.3">
      <c r="O175" s="5"/>
      <c r="P175" s="5"/>
      <c r="Q175" s="5"/>
      <c r="R175" s="5"/>
      <c r="S175" s="5"/>
      <c r="T175" s="5"/>
      <c r="U175" s="5"/>
      <c r="V175" s="5"/>
    </row>
    <row r="176" spans="15:22" ht="28.5" customHeight="1" x14ac:dyDescent="0.3">
      <c r="O176" s="5"/>
      <c r="P176" s="5"/>
      <c r="Q176" s="5"/>
      <c r="R176" s="5"/>
      <c r="S176" s="5"/>
      <c r="T176" s="5"/>
      <c r="U176" s="5"/>
      <c r="V176" s="5"/>
    </row>
    <row r="177" spans="15:22" ht="28.5" customHeight="1" x14ac:dyDescent="0.3">
      <c r="O177" s="5"/>
      <c r="P177" s="5"/>
      <c r="Q177" s="5"/>
      <c r="R177" s="5"/>
      <c r="S177" s="5"/>
      <c r="T177" s="5"/>
      <c r="U177" s="5"/>
      <c r="V177" s="5"/>
    </row>
    <row r="178" spans="15:22" ht="28.5" customHeight="1" x14ac:dyDescent="0.3">
      <c r="O178" s="5"/>
      <c r="P178" s="5"/>
      <c r="Q178" s="5"/>
      <c r="R178" s="5"/>
      <c r="S178" s="5"/>
      <c r="T178" s="5"/>
      <c r="U178" s="5"/>
      <c r="V178" s="5"/>
    </row>
    <row r="179" spans="15:22" ht="28.5" customHeight="1" x14ac:dyDescent="0.3">
      <c r="O179" s="5"/>
      <c r="P179" s="5"/>
      <c r="Q179" s="5"/>
      <c r="R179" s="5"/>
      <c r="S179" s="5"/>
      <c r="T179" s="5"/>
      <c r="U179" s="5"/>
      <c r="V179" s="5"/>
    </row>
    <row r="180" spans="15:22" ht="28.5" customHeight="1" x14ac:dyDescent="0.3">
      <c r="O180" s="5"/>
      <c r="P180" s="5"/>
      <c r="Q180" s="5"/>
      <c r="R180" s="5"/>
      <c r="S180" s="5"/>
      <c r="T180" s="5"/>
      <c r="U180" s="5"/>
      <c r="V180" s="5"/>
    </row>
    <row r="181" spans="15:22" ht="28.5" customHeight="1" x14ac:dyDescent="0.3">
      <c r="O181" s="5"/>
      <c r="P181" s="5"/>
      <c r="Q181" s="5"/>
      <c r="R181" s="5"/>
      <c r="S181" s="5"/>
      <c r="T181" s="5"/>
      <c r="U181" s="5"/>
      <c r="V181" s="5"/>
    </row>
    <row r="182" spans="15:22" ht="28.5" customHeight="1" x14ac:dyDescent="0.3">
      <c r="O182" s="5"/>
      <c r="P182" s="5"/>
      <c r="Q182" s="5"/>
      <c r="R182" s="5"/>
      <c r="S182" s="5"/>
      <c r="T182" s="5"/>
      <c r="U182" s="5"/>
      <c r="V182" s="5"/>
    </row>
    <row r="183" spans="15:22" ht="28.5" customHeight="1" x14ac:dyDescent="0.3">
      <c r="O183" s="5"/>
      <c r="P183" s="5"/>
      <c r="Q183" s="5"/>
      <c r="R183" s="5"/>
      <c r="S183" s="5"/>
      <c r="T183" s="5"/>
      <c r="U183" s="5"/>
      <c r="V183" s="5"/>
    </row>
    <row r="184" spans="15:22" ht="28.5" customHeight="1" x14ac:dyDescent="0.3">
      <c r="O184" s="5"/>
      <c r="P184" s="5"/>
      <c r="Q184" s="5"/>
      <c r="R184" s="5"/>
      <c r="S184" s="5"/>
      <c r="T184" s="5"/>
      <c r="U184" s="5"/>
      <c r="V184" s="5"/>
    </row>
    <row r="185" spans="15:22" ht="28.5" customHeight="1" x14ac:dyDescent="0.3">
      <c r="O185" s="5"/>
      <c r="P185" s="5"/>
      <c r="Q185" s="5"/>
      <c r="R185" s="5"/>
      <c r="S185" s="5"/>
      <c r="T185" s="5"/>
      <c r="U185" s="5"/>
      <c r="V185" s="5"/>
    </row>
    <row r="186" spans="15:22" ht="28.5" customHeight="1" x14ac:dyDescent="0.3">
      <c r="O186" s="5"/>
      <c r="P186" s="5"/>
      <c r="Q186" s="5"/>
      <c r="R186" s="5"/>
      <c r="S186" s="5"/>
      <c r="T186" s="5"/>
      <c r="U186" s="5"/>
      <c r="V186" s="5"/>
    </row>
    <row r="187" spans="15:22" ht="28.5" customHeight="1" x14ac:dyDescent="0.3">
      <c r="O187" s="5"/>
      <c r="P187" s="5"/>
      <c r="Q187" s="5"/>
      <c r="R187" s="5"/>
      <c r="S187" s="5"/>
      <c r="T187" s="5"/>
      <c r="U187" s="5"/>
      <c r="V187" s="5"/>
    </row>
    <row r="188" spans="15:22" ht="28.5" customHeight="1" x14ac:dyDescent="0.3">
      <c r="O188" s="5"/>
      <c r="P188" s="5"/>
      <c r="Q188" s="5"/>
      <c r="R188" s="5"/>
      <c r="S188" s="5"/>
      <c r="T188" s="5"/>
      <c r="U188" s="5"/>
      <c r="V188" s="5"/>
    </row>
    <row r="189" spans="15:22" ht="28.5" customHeight="1" x14ac:dyDescent="0.3">
      <c r="O189" s="5"/>
      <c r="P189" s="5"/>
      <c r="Q189" s="5"/>
      <c r="R189" s="5"/>
      <c r="S189" s="5"/>
      <c r="T189" s="5"/>
      <c r="U189" s="5"/>
      <c r="V189" s="5"/>
    </row>
    <row r="190" spans="15:22" ht="28.5" customHeight="1" x14ac:dyDescent="0.3">
      <c r="O190" s="5"/>
      <c r="P190" s="5"/>
      <c r="Q190" s="5"/>
      <c r="R190" s="5"/>
      <c r="S190" s="5"/>
      <c r="T190" s="5"/>
      <c r="U190" s="5"/>
      <c r="V190" s="5"/>
    </row>
    <row r="191" spans="15:22" ht="28.5" customHeight="1" x14ac:dyDescent="0.3">
      <c r="O191" s="5"/>
      <c r="P191" s="5"/>
      <c r="Q191" s="5"/>
      <c r="R191" s="5"/>
      <c r="S191" s="5"/>
      <c r="T191" s="5"/>
      <c r="U191" s="5"/>
      <c r="V191" s="5"/>
    </row>
    <row r="192" spans="15:22" ht="28.5" customHeight="1" x14ac:dyDescent="0.3">
      <c r="O192" s="5"/>
      <c r="P192" s="5"/>
      <c r="Q192" s="5"/>
      <c r="R192" s="5"/>
      <c r="S192" s="5"/>
      <c r="T192" s="5"/>
      <c r="U192" s="5"/>
      <c r="V192" s="5"/>
    </row>
    <row r="193" spans="15:22" ht="28.5" customHeight="1" x14ac:dyDescent="0.3">
      <c r="O193" s="5"/>
      <c r="P193" s="5"/>
      <c r="Q193" s="5"/>
      <c r="R193" s="5"/>
      <c r="S193" s="5"/>
      <c r="T193" s="5"/>
      <c r="U193" s="5"/>
      <c r="V193" s="5"/>
    </row>
    <row r="194" spans="15:22" ht="28.5" customHeight="1" x14ac:dyDescent="0.3">
      <c r="O194" s="5"/>
      <c r="P194" s="5"/>
      <c r="Q194" s="5"/>
      <c r="R194" s="5"/>
      <c r="S194" s="5"/>
      <c r="T194" s="5"/>
      <c r="U194" s="5"/>
      <c r="V194" s="5"/>
    </row>
    <row r="195" spans="15:22" ht="28.5" customHeight="1" x14ac:dyDescent="0.3">
      <c r="O195" s="5"/>
      <c r="P195" s="5"/>
      <c r="Q195" s="5"/>
      <c r="R195" s="5"/>
      <c r="S195" s="5"/>
      <c r="T195" s="5"/>
      <c r="U195" s="5"/>
      <c r="V195" s="5"/>
    </row>
    <row r="196" spans="15:22" ht="28.5" customHeight="1" x14ac:dyDescent="0.3">
      <c r="O196" s="5"/>
      <c r="P196" s="5"/>
      <c r="Q196" s="5"/>
      <c r="R196" s="5"/>
      <c r="S196" s="5"/>
      <c r="T196" s="5"/>
      <c r="U196" s="5"/>
      <c r="V196" s="5"/>
    </row>
    <row r="197" spans="15:22" ht="28.5" customHeight="1" x14ac:dyDescent="0.3">
      <c r="O197" s="5"/>
      <c r="P197" s="5"/>
      <c r="Q197" s="5"/>
      <c r="R197" s="5"/>
      <c r="S197" s="5"/>
      <c r="T197" s="5"/>
      <c r="U197" s="5"/>
      <c r="V197" s="5"/>
    </row>
    <row r="198" spans="15:22" ht="28.5" customHeight="1" x14ac:dyDescent="0.3">
      <c r="O198" s="5"/>
      <c r="P198" s="5"/>
      <c r="Q198" s="5"/>
      <c r="R198" s="5"/>
      <c r="S198" s="5"/>
      <c r="T198" s="5"/>
      <c r="U198" s="5"/>
      <c r="V198" s="5"/>
    </row>
    <row r="199" spans="15:22" ht="28.5" customHeight="1" x14ac:dyDescent="0.3">
      <c r="O199" s="5"/>
      <c r="P199" s="5"/>
      <c r="Q199" s="5"/>
      <c r="R199" s="5"/>
      <c r="S199" s="5"/>
      <c r="T199" s="5"/>
      <c r="U199" s="5"/>
      <c r="V199" s="5"/>
    </row>
    <row r="200" spans="15:22" ht="28.5" customHeight="1" x14ac:dyDescent="0.3">
      <c r="O200" s="5"/>
      <c r="P200" s="5"/>
      <c r="Q200" s="5"/>
      <c r="R200" s="5"/>
      <c r="S200" s="5"/>
      <c r="T200" s="5"/>
      <c r="U200" s="5"/>
      <c r="V200" s="5"/>
    </row>
    <row r="201" spans="15:22" ht="28.5" customHeight="1" x14ac:dyDescent="0.3">
      <c r="O201" s="5"/>
      <c r="P201" s="5"/>
      <c r="Q201" s="5"/>
      <c r="R201" s="5"/>
      <c r="S201" s="5"/>
      <c r="T201" s="5"/>
      <c r="U201" s="5"/>
      <c r="V201" s="5"/>
    </row>
    <row r="202" spans="15:22" ht="28.5" customHeight="1" x14ac:dyDescent="0.3">
      <c r="O202" s="5"/>
      <c r="P202" s="5"/>
      <c r="Q202" s="5"/>
      <c r="R202" s="5"/>
      <c r="S202" s="5"/>
      <c r="T202" s="5"/>
      <c r="U202" s="5"/>
      <c r="V202" s="5"/>
    </row>
    <row r="203" spans="15:22" ht="28.5" customHeight="1" x14ac:dyDescent="0.3">
      <c r="O203" s="5"/>
      <c r="P203" s="5"/>
      <c r="Q203" s="5"/>
      <c r="R203" s="5"/>
      <c r="S203" s="5"/>
      <c r="T203" s="5"/>
      <c r="U203" s="5"/>
      <c r="V203" s="5"/>
    </row>
    <row r="204" spans="15:22" ht="28.5" customHeight="1" x14ac:dyDescent="0.3">
      <c r="O204" s="5"/>
      <c r="P204" s="5"/>
      <c r="Q204" s="5"/>
      <c r="R204" s="5"/>
      <c r="S204" s="5"/>
      <c r="T204" s="5"/>
      <c r="U204" s="5"/>
      <c r="V204" s="5"/>
    </row>
    <row r="205" spans="15:22" ht="28.5" customHeight="1" x14ac:dyDescent="0.3">
      <c r="O205" s="5"/>
      <c r="P205" s="5"/>
      <c r="Q205" s="5"/>
      <c r="R205" s="5"/>
      <c r="S205" s="5"/>
      <c r="T205" s="5"/>
      <c r="U205" s="5"/>
      <c r="V205" s="5"/>
    </row>
    <row r="206" spans="15:22" ht="28.5" customHeight="1" x14ac:dyDescent="0.3">
      <c r="O206" s="5"/>
      <c r="P206" s="5"/>
      <c r="Q206" s="5"/>
      <c r="R206" s="5"/>
      <c r="S206" s="5"/>
      <c r="T206" s="5"/>
      <c r="U206" s="5"/>
      <c r="V206" s="5"/>
    </row>
    <row r="207" spans="15:22" ht="28.5" customHeight="1" x14ac:dyDescent="0.3">
      <c r="O207" s="5"/>
      <c r="P207" s="5"/>
      <c r="Q207" s="5"/>
      <c r="R207" s="5"/>
      <c r="S207" s="5"/>
      <c r="T207" s="5"/>
      <c r="U207" s="5"/>
      <c r="V207" s="5"/>
    </row>
    <row r="208" spans="15:22" ht="28.5" customHeight="1" x14ac:dyDescent="0.3">
      <c r="O208" s="5"/>
      <c r="P208" s="5"/>
      <c r="Q208" s="5"/>
      <c r="R208" s="5"/>
      <c r="S208" s="5"/>
      <c r="T208" s="5"/>
      <c r="U208" s="5"/>
      <c r="V208" s="5"/>
    </row>
    <row r="209" spans="15:22" ht="28.5" customHeight="1" x14ac:dyDescent="0.3">
      <c r="O209" s="5"/>
      <c r="P209" s="5"/>
      <c r="Q209" s="5"/>
      <c r="R209" s="5"/>
      <c r="S209" s="5"/>
      <c r="T209" s="5"/>
      <c r="U209" s="5"/>
      <c r="V209" s="5"/>
    </row>
    <row r="210" spans="15:22" ht="28.5" customHeight="1" x14ac:dyDescent="0.3">
      <c r="O210" s="5"/>
      <c r="P210" s="5"/>
      <c r="Q210" s="5"/>
      <c r="R210" s="5"/>
      <c r="S210" s="5"/>
      <c r="T210" s="5"/>
      <c r="U210" s="5"/>
      <c r="V210" s="5"/>
    </row>
    <row r="211" spans="15:22" ht="28.5" customHeight="1" x14ac:dyDescent="0.3">
      <c r="O211" s="5"/>
      <c r="P211" s="5"/>
      <c r="Q211" s="5"/>
      <c r="R211" s="5"/>
      <c r="S211" s="5"/>
      <c r="T211" s="5"/>
      <c r="U211" s="5"/>
      <c r="V211" s="5"/>
    </row>
    <row r="212" spans="15:22" ht="28.5" customHeight="1" x14ac:dyDescent="0.3">
      <c r="O212" s="5"/>
      <c r="P212" s="5"/>
      <c r="Q212" s="5"/>
      <c r="R212" s="5"/>
      <c r="S212" s="5"/>
      <c r="T212" s="5"/>
      <c r="U212" s="5"/>
      <c r="V212" s="5"/>
    </row>
    <row r="213" spans="15:22" ht="28.5" customHeight="1" x14ac:dyDescent="0.3">
      <c r="O213" s="5"/>
      <c r="P213" s="5"/>
      <c r="Q213" s="5"/>
      <c r="R213" s="5"/>
      <c r="S213" s="5"/>
      <c r="T213" s="5"/>
      <c r="U213" s="5"/>
      <c r="V213" s="5"/>
    </row>
    <row r="214" spans="15:22" ht="28.5" customHeight="1" x14ac:dyDescent="0.3">
      <c r="O214" s="5"/>
      <c r="P214" s="5"/>
      <c r="Q214" s="5"/>
      <c r="R214" s="5"/>
      <c r="S214" s="5"/>
      <c r="T214" s="5"/>
      <c r="U214" s="5"/>
      <c r="V214" s="5"/>
    </row>
    <row r="215" spans="15:22" ht="28.5" customHeight="1" x14ac:dyDescent="0.3">
      <c r="O215" s="5"/>
      <c r="P215" s="5"/>
      <c r="Q215" s="5"/>
      <c r="R215" s="5"/>
      <c r="S215" s="5"/>
      <c r="T215" s="5"/>
      <c r="U215" s="5"/>
      <c r="V215" s="5"/>
    </row>
    <row r="216" spans="15:22" ht="28.5" customHeight="1" x14ac:dyDescent="0.3">
      <c r="O216" s="5"/>
      <c r="P216" s="5"/>
      <c r="Q216" s="5"/>
      <c r="R216" s="5"/>
      <c r="S216" s="5"/>
      <c r="T216" s="5"/>
      <c r="U216" s="5"/>
      <c r="V216" s="5"/>
    </row>
    <row r="217" spans="15:22" ht="28.5" customHeight="1" x14ac:dyDescent="0.3">
      <c r="O217" s="5"/>
      <c r="P217" s="5"/>
      <c r="Q217" s="5"/>
      <c r="R217" s="5"/>
      <c r="S217" s="5"/>
      <c r="T217" s="5"/>
      <c r="U217" s="5"/>
      <c r="V217" s="5"/>
    </row>
    <row r="218" spans="15:22" ht="28.5" customHeight="1" x14ac:dyDescent="0.3">
      <c r="O218" s="5"/>
      <c r="P218" s="5"/>
      <c r="Q218" s="5"/>
      <c r="R218" s="5"/>
      <c r="S218" s="5"/>
      <c r="T218" s="5"/>
      <c r="U218" s="5"/>
      <c r="V218" s="5"/>
    </row>
    <row r="219" spans="15:22" ht="28.5" customHeight="1" x14ac:dyDescent="0.3">
      <c r="O219" s="5"/>
      <c r="P219" s="5"/>
      <c r="Q219" s="5"/>
      <c r="R219" s="5"/>
      <c r="S219" s="5"/>
      <c r="T219" s="5"/>
      <c r="U219" s="5"/>
      <c r="V219" s="5"/>
    </row>
    <row r="220" spans="15:22" ht="28.5" customHeight="1" x14ac:dyDescent="0.3">
      <c r="O220" s="5"/>
      <c r="P220" s="5"/>
      <c r="Q220" s="5"/>
      <c r="R220" s="5"/>
      <c r="S220" s="5"/>
      <c r="T220" s="5"/>
      <c r="U220" s="5"/>
      <c r="V220" s="5"/>
    </row>
    <row r="221" spans="15:22" ht="28.5" customHeight="1" x14ac:dyDescent="0.3">
      <c r="O221" s="5"/>
      <c r="P221" s="5"/>
      <c r="Q221" s="5"/>
      <c r="R221" s="5"/>
      <c r="S221" s="5"/>
      <c r="T221" s="5"/>
      <c r="U221" s="5"/>
      <c r="V221" s="5"/>
    </row>
    <row r="222" spans="15:22" ht="28.5" customHeight="1" x14ac:dyDescent="0.3">
      <c r="O222" s="5"/>
      <c r="P222" s="5"/>
      <c r="Q222" s="5"/>
      <c r="R222" s="5"/>
      <c r="S222" s="5"/>
      <c r="T222" s="5"/>
      <c r="U222" s="5"/>
      <c r="V222" s="5"/>
    </row>
    <row r="223" spans="15:22" ht="28.5" customHeight="1" x14ac:dyDescent="0.3">
      <c r="O223" s="5"/>
      <c r="P223" s="5"/>
      <c r="Q223" s="5"/>
      <c r="R223" s="5"/>
      <c r="S223" s="5"/>
      <c r="T223" s="5"/>
      <c r="U223" s="5"/>
      <c r="V223" s="5"/>
    </row>
    <row r="224" spans="15:22" ht="28.5" customHeight="1" x14ac:dyDescent="0.3">
      <c r="O224" s="5"/>
      <c r="P224" s="5"/>
      <c r="Q224" s="5"/>
      <c r="R224" s="5"/>
      <c r="S224" s="5"/>
      <c r="T224" s="5"/>
      <c r="U224" s="5"/>
      <c r="V224" s="5"/>
    </row>
    <row r="225" spans="1:24" ht="28.5" customHeight="1" x14ac:dyDescent="0.3">
      <c r="O225" s="5"/>
      <c r="P225" s="5"/>
      <c r="Q225" s="5"/>
      <c r="R225" s="5"/>
      <c r="S225" s="5"/>
      <c r="T225" s="5"/>
      <c r="U225" s="5"/>
      <c r="V225" s="5"/>
    </row>
    <row r="226" spans="1:24" ht="28.5" customHeight="1" x14ac:dyDescent="0.3">
      <c r="O226" s="5"/>
      <c r="P226" s="5"/>
      <c r="Q226" s="5"/>
      <c r="R226" s="5"/>
      <c r="S226" s="5"/>
      <c r="T226" s="5"/>
      <c r="U226" s="5"/>
      <c r="V226" s="5"/>
    </row>
    <row r="227" spans="1:24" ht="28.5" customHeight="1" x14ac:dyDescent="0.3">
      <c r="O227" s="5"/>
      <c r="P227" s="5"/>
      <c r="Q227" s="5"/>
      <c r="R227" s="5"/>
      <c r="S227" s="5"/>
      <c r="T227" s="5"/>
      <c r="U227" s="5"/>
      <c r="V227" s="5"/>
    </row>
    <row r="228" spans="1:24" ht="28.5" customHeight="1" x14ac:dyDescent="0.3">
      <c r="O228" s="5"/>
      <c r="P228" s="5"/>
      <c r="Q228" s="5"/>
      <c r="R228" s="5"/>
      <c r="S228" s="5"/>
      <c r="T228" s="5"/>
      <c r="U228" s="5"/>
      <c r="V228" s="5"/>
    </row>
    <row r="229" spans="1:24" ht="28.5" customHeight="1" x14ac:dyDescent="0.3">
      <c r="O229" s="5"/>
      <c r="P229" s="5"/>
      <c r="Q229" s="5"/>
      <c r="R229" s="5"/>
      <c r="S229" s="5"/>
      <c r="T229" s="5"/>
      <c r="U229" s="5"/>
      <c r="V229" s="5"/>
    </row>
    <row r="230" spans="1:24" ht="28.5" customHeight="1" x14ac:dyDescent="0.3">
      <c r="O230" s="5"/>
      <c r="P230" s="5"/>
      <c r="Q230" s="5"/>
      <c r="R230" s="5"/>
      <c r="S230" s="5"/>
      <c r="T230" s="5"/>
      <c r="U230" s="5"/>
      <c r="V230" s="5"/>
    </row>
    <row r="231" spans="1:24" ht="28.5" customHeight="1" x14ac:dyDescent="0.3">
      <c r="O231" s="5"/>
      <c r="P231" s="5"/>
      <c r="Q231" s="5"/>
      <c r="R231" s="5"/>
      <c r="S231" s="5"/>
      <c r="T231" s="5"/>
      <c r="U231" s="5"/>
      <c r="V231" s="5"/>
    </row>
    <row r="232" spans="1:24" ht="28.5" customHeight="1" x14ac:dyDescent="0.3">
      <c r="O232" s="5"/>
      <c r="P232" s="5"/>
      <c r="Q232" s="5"/>
      <c r="R232" s="5"/>
      <c r="S232" s="5"/>
      <c r="T232" s="5"/>
      <c r="U232" s="5"/>
      <c r="V232" s="5"/>
    </row>
    <row r="233" spans="1:24" ht="28.5" customHeight="1" x14ac:dyDescent="0.3">
      <c r="O233" s="5"/>
      <c r="P233" s="5"/>
      <c r="Q233" s="5"/>
      <c r="R233" s="5"/>
      <c r="S233" s="5"/>
      <c r="T233" s="5"/>
      <c r="U233" s="5"/>
      <c r="V233" s="5"/>
    </row>
    <row r="234" spans="1:24" ht="28.5" customHeight="1" x14ac:dyDescent="0.3">
      <c r="O234" s="5"/>
      <c r="P234" s="5"/>
      <c r="Q234" s="5"/>
      <c r="R234" s="5"/>
      <c r="S234" s="5"/>
      <c r="T234" s="5"/>
      <c r="U234" s="5"/>
      <c r="V234" s="5"/>
    </row>
    <row r="235" spans="1:24" ht="28.5" customHeight="1" x14ac:dyDescent="0.3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5"/>
      <c r="P235" s="5"/>
      <c r="Q235" s="5"/>
      <c r="R235" s="5"/>
      <c r="S235" s="5"/>
      <c r="T235" s="5"/>
      <c r="U235" s="5"/>
      <c r="V235" s="5"/>
      <c r="W235" s="3"/>
      <c r="X235" s="3"/>
    </row>
    <row r="236" spans="1:24" ht="28.5" customHeight="1" x14ac:dyDescent="0.3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5"/>
      <c r="P236" s="5"/>
      <c r="Q236" s="5"/>
      <c r="R236" s="5"/>
      <c r="S236" s="5"/>
      <c r="T236" s="5"/>
      <c r="U236" s="5"/>
      <c r="V236" s="5"/>
      <c r="W236" s="3"/>
      <c r="X236" s="3"/>
    </row>
    <row r="237" spans="1:24" ht="28.5" customHeight="1" x14ac:dyDescent="0.3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</row>
    <row r="238" spans="1:24" ht="28.5" customHeight="1" x14ac:dyDescent="0.3"/>
    <row r="239" spans="1:24" ht="28.5" customHeight="1" x14ac:dyDescent="0.3"/>
    <row r="240" spans="1:24" ht="28.5" customHeight="1" x14ac:dyDescent="0.3"/>
    <row r="241" ht="28.5" customHeight="1" x14ac:dyDescent="0.3"/>
    <row r="242" ht="28.5" customHeight="1" x14ac:dyDescent="0.3"/>
    <row r="243" ht="28.5" customHeight="1" x14ac:dyDescent="0.3"/>
  </sheetData>
  <mergeCells count="6">
    <mergeCell ref="A120:S129"/>
    <mergeCell ref="N4:O4"/>
    <mergeCell ref="A2:W2"/>
    <mergeCell ref="N8:O8"/>
    <mergeCell ref="N14:X15"/>
    <mergeCell ref="V7:X9"/>
  </mergeCells>
  <phoneticPr fontId="1" type="noConversion"/>
  <conditionalFormatting sqref="C4:L13">
    <cfRule type="cellIs" dxfId="27" priority="450" operator="greaterThan">
      <formula>0</formula>
    </cfRule>
    <cfRule type="cellIs" dxfId="26" priority="451" operator="lessThan">
      <formula>0</formula>
    </cfRule>
    <cfRule type="cellIs" dxfId="25" priority="452" operator="equal">
      <formula>0</formula>
    </cfRule>
  </conditionalFormatting>
  <conditionalFormatting sqref="O13">
    <cfRule type="containsText" dxfId="24" priority="448" operator="containsText" text="in">
      <formula>NOT(ISERROR(SEARCH("in",O13)))</formula>
    </cfRule>
    <cfRule type="beginsWith" dxfId="23" priority="449" operator="beginsWith" text="pront">
      <formula>LEFT(O13,LEN("pront"))="pront"</formula>
    </cfRule>
  </conditionalFormatting>
  <conditionalFormatting sqref="P8">
    <cfRule type="colorScale" priority="447">
      <colorScale>
        <cfvo type="min"/>
        <cfvo type="max"/>
        <color rgb="FFFF7128"/>
        <color rgb="FFFFEF9C"/>
      </colorScale>
    </cfRule>
  </conditionalFormatting>
  <conditionalFormatting sqref="N14">
    <cfRule type="containsText" dxfId="22" priority="339" operator="containsText" text="hai perso">
      <formula>NOT(ISERROR(SEARCH("hai perso",N14)))</formula>
    </cfRule>
    <cfRule type="beginsWith" dxfId="21" priority="344" operator="beginsWith" text="H">
      <formula>LEFT(N14,LEN("H"))="H"</formula>
    </cfRule>
    <cfRule type="containsText" dxfId="20" priority="351" operator="containsText" text="SCHIERATA">
      <formula>NOT(ISERROR(SEARCH("SCHIERATA",N14)))</formula>
    </cfRule>
    <cfRule type="beginsWith" dxfId="19" priority="352" operator="beginsWith" text="F">
      <formula>LEFT(N14,LEN("F"))="F"</formula>
    </cfRule>
  </conditionalFormatting>
  <conditionalFormatting sqref="G17:G117">
    <cfRule type="cellIs" dxfId="18" priority="270" operator="equal">
      <formula>1</formula>
    </cfRule>
    <cfRule type="cellIs" dxfId="17" priority="271" operator="equal">
      <formula>0</formula>
    </cfRule>
  </conditionalFormatting>
  <conditionalFormatting sqref="N14:X15">
    <cfRule type="containsText" dxfId="16" priority="258" operator="containsText" text="acqua">
      <formula>NOT(ISERROR(SEARCH("acqua",N14)))</formula>
    </cfRule>
    <cfRule type="containsText" dxfId="15" priority="259" operator="containsText" text="colpito">
      <formula>NOT(ISERROR(SEARCH("colpito",N14)))</formula>
    </cfRule>
    <cfRule type="containsText" dxfId="14" priority="268" operator="containsText" text="COORDINATE">
      <formula>NOT(ISERROR(SEARCH("COORDINATE",N14)))</formula>
    </cfRule>
    <cfRule type="containsText" dxfId="13" priority="269" operator="containsText" text="SCHIERI">
      <formula>NOT(ISERROR(SEARCH("SCHIERI",N14)))</formula>
    </cfRule>
  </conditionalFormatting>
  <conditionalFormatting sqref="V7:X9">
    <cfRule type="containsText" dxfId="12" priority="127" operator="containsText" text="COMPLIMENTI">
      <formula>NOT(ISERROR(SEARCH("COMPLIMENTI",V7)))</formula>
    </cfRule>
    <cfRule type="containsText" dxfId="11" priority="252" operator="containsText" text="ASPETTO">
      <formula>NOT(ISERROR(SEARCH("ASPETTO",V7)))</formula>
    </cfRule>
    <cfRule type="containsText" dxfId="10" priority="253" operator="containsText" text="acqua">
      <formula>NOT(ISERROR(SEARCH("acqua",V7)))</formula>
    </cfRule>
    <cfRule type="containsText" dxfId="9" priority="254" operator="containsText" text="colpito">
      <formula>NOT(ISERROR(SEARCH("colpito",V7)))</formula>
    </cfRule>
    <cfRule type="containsText" dxfId="8" priority="255" operator="containsText" text="qualcosa">
      <formula>NOT(ISERROR(SEARCH("qualcosa",V7)))</formula>
    </cfRule>
  </conditionalFormatting>
  <conditionalFormatting sqref="AD4:AM13">
    <cfRule type="cellIs" dxfId="1" priority="2" operator="equal">
      <formula>1</formula>
    </cfRule>
    <cfRule type="cellIs" dxfId="0" priority="1" operator="equal">
      <formula>0</formula>
    </cfRule>
  </conditionalFormatting>
  <dataValidations count="2">
    <dataValidation allowBlank="1" showInputMessage="1" showErrorMessage="1" errorTitle="CASELLA GIA' UTILIZZATA" error="riprova" sqref="Z19:AB28" xr:uid="{138C7A25-94A3-48EA-9A47-48BCD0F039A9}"/>
    <dataValidation type="list" allowBlank="1" showInputMessage="1" showErrorMessage="1" errorTitle="ATTENZIONE, CASELLA INESISTENTE" error="Inserire una coordinata valida grazie" promptTitle="SPARATO" sqref="P4" xr:uid="{B89A41A3-0FC2-491F-A38C-916CFE53C0BB}">
      <formula1>$C$17:$C$116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cro23" altText="SCHIERA I SOLDATI">
                <anchor moveWithCells="1" sizeWithCells="1">
                  <from>
                    <xdr:col>2</xdr:col>
                    <xdr:colOff>198120</xdr:colOff>
                    <xdr:row>13</xdr:row>
                    <xdr:rowOff>99060</xdr:rowOff>
                  </from>
                  <to>
                    <xdr:col>10</xdr:col>
                    <xdr:colOff>30480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cro45">
                <anchor moveWithCells="1" sizeWithCells="1">
                  <from>
                    <xdr:col>16</xdr:col>
                    <xdr:colOff>99060</xdr:colOff>
                    <xdr:row>2</xdr:row>
                    <xdr:rowOff>99060</xdr:rowOff>
                  </from>
                  <to>
                    <xdr:col>20</xdr:col>
                    <xdr:colOff>30480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Macro40">
                <anchor moveWithCells="1" sizeWithCells="1">
                  <from>
                    <xdr:col>10</xdr:col>
                    <xdr:colOff>99060</xdr:colOff>
                    <xdr:row>13</xdr:row>
                    <xdr:rowOff>114300</xdr:rowOff>
                  </from>
                  <to>
                    <xdr:col>12</xdr:col>
                    <xdr:colOff>160020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Fill="0" autoPict="0" macro="[0]!Macro25">
                <anchor moveWithCells="1" sizeWithCells="1">
                  <from>
                    <xdr:col>13</xdr:col>
                    <xdr:colOff>0</xdr:colOff>
                    <xdr:row>8</xdr:row>
                    <xdr:rowOff>60960</xdr:rowOff>
                  </from>
                  <to>
                    <xdr:col>16</xdr:col>
                    <xdr:colOff>0</xdr:colOff>
                    <xdr:row>9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8" name="Option Button 16">
              <controlPr defaultSize="0" autoFill="0" autoLine="0" autoPict="0" macro="[0]!Macro20">
                <anchor moveWithCells="1">
                  <from>
                    <xdr:col>23</xdr:col>
                    <xdr:colOff>678180</xdr:colOff>
                    <xdr:row>4</xdr:row>
                    <xdr:rowOff>0</xdr:rowOff>
                  </from>
                  <to>
                    <xdr:col>25</xdr:col>
                    <xdr:colOff>769620</xdr:colOff>
                    <xdr:row>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Option Button 19">
              <controlPr defaultSize="0" autoFill="0" autoLine="0" autoPict="0" macro="[0]!Macro21">
                <anchor moveWithCells="1">
                  <from>
                    <xdr:col>23</xdr:col>
                    <xdr:colOff>678180</xdr:colOff>
                    <xdr:row>5</xdr:row>
                    <xdr:rowOff>160020</xdr:rowOff>
                  </from>
                  <to>
                    <xdr:col>25</xdr:col>
                    <xdr:colOff>601980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0" name="Option Button 20">
              <controlPr defaultSize="0" autoFill="0" autoLine="0" autoPict="0" macro="[0]!Macro22">
                <anchor moveWithCells="1">
                  <from>
                    <xdr:col>24</xdr:col>
                    <xdr:colOff>0</xdr:colOff>
                    <xdr:row>8</xdr:row>
                    <xdr:rowOff>144780</xdr:rowOff>
                  </from>
                  <to>
                    <xdr:col>25</xdr:col>
                    <xdr:colOff>960120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1" name="Option Button 21">
              <controlPr defaultSize="0" autoFill="0" autoLine="0" autoPict="0" macro="[0]!Macro24">
                <anchor moveWithCells="1">
                  <from>
                    <xdr:col>23</xdr:col>
                    <xdr:colOff>678180</xdr:colOff>
                    <xdr:row>7</xdr:row>
                    <xdr:rowOff>7620</xdr:rowOff>
                  </from>
                  <to>
                    <xdr:col>25</xdr:col>
                    <xdr:colOff>480060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34981-8B1E-447D-BDBF-41F7A8D12755}">
  <dimension ref="A1"/>
  <sheetViews>
    <sheetView workbookViewId="0">
      <selection activeCell="P5" sqref="P4:Q5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Foglio2</vt:lpstr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Davide Scapellato</dc:creator>
  <cp:lastModifiedBy>Davide Scapellato</cp:lastModifiedBy>
  <dcterms:created xsi:type="dcterms:W3CDTF">2021-05-13T13:34:04Z</dcterms:created>
  <dcterms:modified xsi:type="dcterms:W3CDTF">2024-06-17T10:20:42Z</dcterms:modified>
</cp:coreProperties>
</file>